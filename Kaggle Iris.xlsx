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UniStuff\SEM3\MU\"/>
    </mc:Choice>
  </mc:AlternateContent>
  <xr:revisionPtr revIDLastSave="0" documentId="8_{F9E32DC3-07C6-4785-B9B6-C0842947E427}" xr6:coauthVersionLast="46" xr6:coauthVersionMax="46" xr10:uidLastSave="{00000000-0000-0000-0000-000000000000}"/>
  <bookViews>
    <workbookView xWindow="-108" yWindow="-108" windowWidth="23256" windowHeight="12576"/>
  </bookViews>
  <sheets>
    <sheet name="Iris" sheetId="1" r:id="rId1"/>
  </sheets>
  <calcPr calcId="0"/>
</workbook>
</file>

<file path=xl/calcChain.xml><?xml version="1.0" encoding="utf-8"?>
<calcChain xmlns="http://schemas.openxmlformats.org/spreadsheetml/2006/main">
  <c r="N24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J2" i="1"/>
  <c r="I2" i="1"/>
  <c r="F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N22" i="1"/>
  <c r="O22" i="1"/>
  <c r="P22" i="1"/>
  <c r="M22" i="1"/>
  <c r="N21" i="1"/>
  <c r="O21" i="1"/>
  <c r="P21" i="1"/>
  <c r="M21" i="1"/>
  <c r="N16" i="1"/>
  <c r="O16" i="1"/>
  <c r="P16" i="1"/>
  <c r="M16" i="1"/>
  <c r="N15" i="1"/>
  <c r="O15" i="1"/>
  <c r="P15" i="1"/>
  <c r="M15" i="1"/>
  <c r="N10" i="1"/>
  <c r="O10" i="1"/>
  <c r="P10" i="1"/>
  <c r="M10" i="1"/>
  <c r="N9" i="1"/>
  <c r="O9" i="1"/>
  <c r="P9" i="1"/>
  <c r="M9" i="1"/>
</calcChain>
</file>

<file path=xl/sharedStrings.xml><?xml version="1.0" encoding="utf-8"?>
<sst xmlns="http://schemas.openxmlformats.org/spreadsheetml/2006/main" count="186" uniqueCount="20">
  <si>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</si>
  <si>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</si>
  <si>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</si>
  <si>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</si>
  <si>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</si>
  <si>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</si>
  <si>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</si>
  <si>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</si>
  <si>
    <t>P(Iris-setosa)</t>
  </si>
  <si>
    <t>P(Iris-versicolor)</t>
  </si>
  <si>
    <t>P(Iris-virginica)</t>
  </si>
  <si>
    <t>MEAN</t>
  </si>
  <si>
    <t>SD</t>
  </si>
  <si>
    <t>P(Iris-setosa/Info)</t>
  </si>
  <si>
    <t>P(Iris-versicolor/Info)</t>
  </si>
  <si>
    <t>P(Iris-virginica/Info)</t>
  </si>
  <si>
    <t>Pred</t>
  </si>
  <si>
    <t>Pred Name</t>
  </si>
  <si>
    <t>Correct Pred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</si>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</sst>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1"/>
  <sheetViews>
    <sheetView tabSelected="1" workbookViewId="0">
      <selection activeCell="N12" sqref="N12"/>
    </sheetView>
  </sheetViews>
  <sheetFormatPr defaultRowHeight="14.4" x14ac:dyDescent="0.3"/>
  <cols>
    <col min="1" max="1" width="13.5546875" bestFit="1" customWidth="1"/>
    <col min="2" max="2" width="12.88671875" bestFit="1" customWidth="1"/>
    <col min="3" max="3" width="13.33203125" bestFit="1" customWidth="1"/>
    <col min="4" max="4" width="12.6640625" bestFit="1" customWidth="1"/>
    <col min="5" max="5" width="12.109375" bestFit="1" customWidth="1"/>
    <col min="6" max="6" width="15.77734375" bestFit="1" customWidth="1"/>
    <col min="7" max="7" width="18.5546875" bestFit="1" customWidth="1"/>
    <col min="8" max="8" width="17.21875" bestFit="1" customWidth="1"/>
    <col min="9" max="9" width="12" bestFit="1" customWidth="1"/>
    <col min="10" max="10" width="12.109375" bestFit="1" customWidth="1"/>
    <col min="11" max="11" width="12.109375" customWidth="1"/>
    <col min="12" max="12" width="13.33203125" bestFit="1" customWidth="1"/>
    <col min="13" max="13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6" x14ac:dyDescent="0.3">
      <c r="A2">
        <v>5.0999999999999996</v>
      </c>
      <c r="B2">
        <v>3.5</v>
      </c>
      <c r="C2">
        <v>1.4</v>
      </c>
      <c r="D2">
        <v>0.2</v>
      </c>
      <c r="E2" t="s">
        <v>5</v>
      </c>
      <c r="F2">
        <f>$N$2*_xlfn.NORM.DIST(A2,$M$9,$M$10,FALSE)*_xlfn.NORM.DIST(B2,$N$9,$N$10,FALSE)*_xlfn.NORM.DIST(C2,$O$9,$O$10,FALSE)*_xlfn.NORM.DIST(D2,$P$9,$P$10,FALSE)</f>
        <v>2.7094152379017098</v>
      </c>
      <c r="G2">
        <f>$N$3*_xlfn.NORM.DIST(A2,$M$15,$M$16,FALSE)*_xlfn.NORM.DIST(B2,$N$15,$N$16,FALSE)*_xlfn.NORM.DIST(C2,$O$15,$O$16,FALSE)*_xlfn.NORM.DIST(D2,$P$15,$P$16,FALSE)</f>
        <v>8.2392019379718245E-18</v>
      </c>
      <c r="H2">
        <f>$N$4*_xlfn.NORM.DIST(A2,$M$21,$M$22,FALSE)*_xlfn.NORM.DIST(B2,$N$21,$N$22,FALSE)*_xlfn.NORM.DIST(C2,$O$21,$O$22,FALSE)*_xlfn.NORM.DIST(D2,$P$21,$P$22,FALSE)</f>
        <v>5.9483383462931319E-25</v>
      </c>
      <c r="I2">
        <f>MAX(F2:H2)</f>
        <v>2.7094152379017098</v>
      </c>
      <c r="J2" t="str">
        <f>IF(I2=F2,$E$2,IF(I2=G2,$E$52,$E$102))</f>
        <v>Iris-setosa</v>
      </c>
      <c r="K2">
        <f>IF(J2=E2,1,0)</f>
        <v>1</v>
      </c>
      <c r="M2" t="s">
        <v>8</v>
      </c>
      <c r="N2">
        <v>0.33</v>
      </c>
    </row>
    <row r="3" spans="1:16" x14ac:dyDescent="0.3">
      <c r="A3">
        <v>4.9000000000000004</v>
      </c>
      <c r="B3">
        <v>3</v>
      </c>
      <c r="C3">
        <v>1.4</v>
      </c>
      <c r="D3">
        <v>0.2</v>
      </c>
      <c r="E3" t="s">
        <v>5</v>
      </c>
      <c r="F3">
        <f t="shared" ref="F3:F66" si="0">$N$2*_xlfn.NORM.DIST(A3,$M$9,$M$10,FALSE)*_xlfn.NORM.DIST(B3,$N$9,$N$10,FALSE)*_xlfn.NORM.DIST(C3,$O$9,$O$10,FALSE)*_xlfn.NORM.DIST(D3,$P$9,$P$10,FALSE)</f>
        <v>1.5045307957675511</v>
      </c>
      <c r="G3">
        <f t="shared" ref="G3:G66" si="1">$N$3*_xlfn.NORM.DIST(A3,$M$15,$M$16,FALSE)*_xlfn.NORM.DIST(B3,$N$15,$N$16,FALSE)*_xlfn.NORM.DIST(C3,$O$15,$O$16,FALSE)*_xlfn.NORM.DIST(D3,$P$15,$P$16,FALSE)</f>
        <v>4.6692922682075671E-17</v>
      </c>
      <c r="H3">
        <f t="shared" ref="H3:H66" si="2">$N$4*_xlfn.NORM.DIST(A3,$M$21,$M$22,FALSE)*_xlfn.NORM.DIST(B3,$N$21,$N$22,FALSE)*_xlfn.NORM.DIST(C3,$O$21,$O$22,FALSE)*_xlfn.NORM.DIST(D3,$P$21,$P$22,FALSE)</f>
        <v>1.0221679387005283E-24</v>
      </c>
      <c r="I3">
        <f t="shared" ref="I3:I66" si="3">MAX(F3:H3)</f>
        <v>1.5045307957675511</v>
      </c>
      <c r="J3" t="str">
        <f t="shared" ref="J3:J66" si="4">IF(I3=F3,$E$2,IF(I3=G3,$E$52,$E$102))</f>
        <v>Iris-setosa</v>
      </c>
      <c r="K3">
        <f t="shared" ref="K3:K66" si="5">IF(J3=E3,1,0)</f>
        <v>1</v>
      </c>
      <c r="M3" t="s">
        <v>9</v>
      </c>
      <c r="N3">
        <v>0.33</v>
      </c>
    </row>
    <row r="4" spans="1:16" x14ac:dyDescent="0.3">
      <c r="A4">
        <v>4.7</v>
      </c>
      <c r="B4">
        <v>3.2</v>
      </c>
      <c r="C4">
        <v>1.3</v>
      </c>
      <c r="D4">
        <v>0.2</v>
      </c>
      <c r="E4" t="s">
        <v>5</v>
      </c>
      <c r="F4">
        <f t="shared" si="0"/>
        <v>1.1460329919383092</v>
      </c>
      <c r="G4">
        <f t="shared" si="1"/>
        <v>2.7257615823766892E-18</v>
      </c>
      <c r="H4">
        <f t="shared" si="2"/>
        <v>8.3380574074074532E-26</v>
      </c>
      <c r="I4">
        <f t="shared" si="3"/>
        <v>1.1460329919383092</v>
      </c>
      <c r="J4" t="str">
        <f t="shared" si="4"/>
        <v>Iris-setosa</v>
      </c>
      <c r="K4">
        <f t="shared" si="5"/>
        <v>1</v>
      </c>
      <c r="M4" t="s">
        <v>10</v>
      </c>
      <c r="N4">
        <v>0.33</v>
      </c>
    </row>
    <row r="5" spans="1:16" x14ac:dyDescent="0.3">
      <c r="A5">
        <v>4.5999999999999996</v>
      </c>
      <c r="B5">
        <v>3.1</v>
      </c>
      <c r="C5">
        <v>1.5</v>
      </c>
      <c r="D5">
        <v>0.2</v>
      </c>
      <c r="E5" t="s">
        <v>5</v>
      </c>
      <c r="F5">
        <f t="shared" si="0"/>
        <v>1.0945558671127511</v>
      </c>
      <c r="G5">
        <f t="shared" si="1"/>
        <v>3.2995434518175964E-17</v>
      </c>
      <c r="H5">
        <f t="shared" si="2"/>
        <v>9.3416320711669767E-25</v>
      </c>
      <c r="I5">
        <f t="shared" si="3"/>
        <v>1.0945558671127511</v>
      </c>
      <c r="J5" t="str">
        <f t="shared" si="4"/>
        <v>Iris-setosa</v>
      </c>
      <c r="K5">
        <f t="shared" si="5"/>
        <v>1</v>
      </c>
    </row>
    <row r="6" spans="1:16" x14ac:dyDescent="0.3">
      <c r="A6">
        <v>5</v>
      </c>
      <c r="B6">
        <v>3.6</v>
      </c>
      <c r="C6">
        <v>1.4</v>
      </c>
      <c r="D6">
        <v>0.2</v>
      </c>
      <c r="E6" t="s">
        <v>5</v>
      </c>
      <c r="F6">
        <f t="shared" si="0"/>
        <v>2.5631160562002413</v>
      </c>
      <c r="G6">
        <f t="shared" si="1"/>
        <v>2.6757703288563036E-18</v>
      </c>
      <c r="H6">
        <f t="shared" si="2"/>
        <v>2.3371149168229132E-25</v>
      </c>
      <c r="I6">
        <f t="shared" si="3"/>
        <v>2.5631160562002413</v>
      </c>
      <c r="J6" t="str">
        <f t="shared" si="4"/>
        <v>Iris-setosa</v>
      </c>
      <c r="K6">
        <f t="shared" si="5"/>
        <v>1</v>
      </c>
    </row>
    <row r="7" spans="1:16" x14ac:dyDescent="0.3">
      <c r="A7">
        <v>5.4</v>
      </c>
      <c r="B7">
        <v>3.9</v>
      </c>
      <c r="C7">
        <v>1.7</v>
      </c>
      <c r="D7">
        <v>0.4</v>
      </c>
      <c r="E7" t="s">
        <v>5</v>
      </c>
      <c r="F7">
        <f t="shared" si="0"/>
        <v>0.11071722081181859</v>
      </c>
      <c r="G7">
        <f t="shared" si="1"/>
        <v>3.0796174882975666E-15</v>
      </c>
      <c r="H7">
        <f t="shared" si="2"/>
        <v>4.9227586790855214E-22</v>
      </c>
      <c r="I7">
        <f t="shared" si="3"/>
        <v>0.11071722081181859</v>
      </c>
      <c r="J7" t="str">
        <f t="shared" si="4"/>
        <v>Iris-setosa</v>
      </c>
      <c r="K7">
        <f t="shared" si="5"/>
        <v>1</v>
      </c>
      <c r="O7" t="s">
        <v>5</v>
      </c>
    </row>
    <row r="8" spans="1:16" x14ac:dyDescent="0.3">
      <c r="A8">
        <v>4.5999999999999996</v>
      </c>
      <c r="B8">
        <v>3.4</v>
      </c>
      <c r="C8">
        <v>1.4</v>
      </c>
      <c r="D8">
        <v>0.3</v>
      </c>
      <c r="E8" t="s">
        <v>5</v>
      </c>
      <c r="F8">
        <f t="shared" si="0"/>
        <v>1.4032641211818777</v>
      </c>
      <c r="G8">
        <f t="shared" si="1"/>
        <v>3.3546155649049651E-17</v>
      </c>
      <c r="H8">
        <f t="shared" si="2"/>
        <v>1.15425258159417E-24</v>
      </c>
      <c r="I8">
        <f t="shared" si="3"/>
        <v>1.4032641211818777</v>
      </c>
      <c r="J8" t="str">
        <f t="shared" si="4"/>
        <v>Iris-setosa</v>
      </c>
      <c r="K8">
        <f t="shared" si="5"/>
        <v>1</v>
      </c>
      <c r="M8" t="s">
        <v>0</v>
      </c>
      <c r="N8" t="s">
        <v>1</v>
      </c>
      <c r="O8" t="s">
        <v>2</v>
      </c>
      <c r="P8" t="s">
        <v>3</v>
      </c>
    </row>
    <row r="9" spans="1:16" x14ac:dyDescent="0.3">
      <c r="A9">
        <v>5</v>
      </c>
      <c r="B9">
        <v>3.4</v>
      </c>
      <c r="C9">
        <v>1.5</v>
      </c>
      <c r="D9">
        <v>0.2</v>
      </c>
      <c r="E9" t="s">
        <v>5</v>
      </c>
      <c r="F9">
        <f t="shared" si="0"/>
        <v>3.0062379080883455</v>
      </c>
      <c r="G9">
        <f t="shared" si="1"/>
        <v>4.2076207760435177E-17</v>
      </c>
      <c r="H9">
        <f t="shared" si="2"/>
        <v>2.4708672754767868E-24</v>
      </c>
      <c r="I9">
        <f t="shared" si="3"/>
        <v>3.0062379080883455</v>
      </c>
      <c r="J9" t="str">
        <f t="shared" si="4"/>
        <v>Iris-setosa</v>
      </c>
      <c r="K9">
        <f t="shared" si="5"/>
        <v>1</v>
      </c>
      <c r="L9" t="s">
        <v>11</v>
      </c>
      <c r="M9">
        <f>AVERAGE(A2:A51)</f>
        <v>5.0059999999999993</v>
      </c>
      <c r="N9">
        <f>AVERAGE(B2:B51)</f>
        <v>3.4180000000000006</v>
      </c>
      <c r="O9">
        <f>AVERAGE(C2:C51)</f>
        <v>1.464</v>
      </c>
      <c r="P9">
        <f>AVERAGE(D2:D51)</f>
        <v>0.24399999999999991</v>
      </c>
    </row>
    <row r="10" spans="1:16" x14ac:dyDescent="0.3">
      <c r="A10">
        <v>4.4000000000000004</v>
      </c>
      <c r="B10">
        <v>2.9</v>
      </c>
      <c r="C10">
        <v>1.4</v>
      </c>
      <c r="D10">
        <v>0.2</v>
      </c>
      <c r="E10" t="s">
        <v>5</v>
      </c>
      <c r="F10">
        <f t="shared" si="0"/>
        <v>0.26015293465797612</v>
      </c>
      <c r="G10">
        <f t="shared" si="1"/>
        <v>5.017955995951118E-18</v>
      </c>
      <c r="H10">
        <f t="shared" si="2"/>
        <v>9.0933093576320289E-26</v>
      </c>
      <c r="I10">
        <f t="shared" si="3"/>
        <v>0.26015293465797612</v>
      </c>
      <c r="J10" t="str">
        <f t="shared" si="4"/>
        <v>Iris-setosa</v>
      </c>
      <c r="K10">
        <f t="shared" si="5"/>
        <v>1</v>
      </c>
      <c r="L10" t="s">
        <v>12</v>
      </c>
      <c r="M10">
        <f>STDEV(A2:A51)</f>
        <v>0.3524896872134512</v>
      </c>
      <c r="N10">
        <f>STDEV(B2:B51)</f>
        <v>0.38102439795469012</v>
      </c>
      <c r="O10">
        <f>STDEV(C2:C51)</f>
        <v>0.17351115943644299</v>
      </c>
      <c r="P10">
        <f>STDEV(D2:D51)</f>
        <v>0.10720950308167866</v>
      </c>
    </row>
    <row r="11" spans="1:16" x14ac:dyDescent="0.3">
      <c r="A11">
        <v>4.9000000000000004</v>
      </c>
      <c r="B11">
        <v>3.1</v>
      </c>
      <c r="C11">
        <v>1.5</v>
      </c>
      <c r="D11">
        <v>0.1</v>
      </c>
      <c r="E11" t="s">
        <v>5</v>
      </c>
      <c r="F11">
        <f t="shared" si="0"/>
        <v>0.89640380153771115</v>
      </c>
      <c r="G11">
        <f t="shared" si="1"/>
        <v>6.2002483725835531E-18</v>
      </c>
      <c r="H11">
        <f t="shared" si="2"/>
        <v>3.037966932566693E-25</v>
      </c>
      <c r="I11">
        <f t="shared" si="3"/>
        <v>0.89640380153771115</v>
      </c>
      <c r="J11" t="str">
        <f t="shared" si="4"/>
        <v>Iris-setosa</v>
      </c>
      <c r="K11">
        <f t="shared" si="5"/>
        <v>1</v>
      </c>
    </row>
    <row r="12" spans="1:16" x14ac:dyDescent="0.3">
      <c r="A12">
        <v>5.4</v>
      </c>
      <c r="B12">
        <v>3.7</v>
      </c>
      <c r="C12">
        <v>1.5</v>
      </c>
      <c r="D12">
        <v>0.2</v>
      </c>
      <c r="E12" t="s">
        <v>5</v>
      </c>
      <c r="F12">
        <f t="shared" si="0"/>
        <v>1.2255275559867862</v>
      </c>
      <c r="G12">
        <f t="shared" si="1"/>
        <v>1.1799758378587372E-17</v>
      </c>
      <c r="H12">
        <f t="shared" si="2"/>
        <v>1.8518554835830559E-24</v>
      </c>
      <c r="I12">
        <f t="shared" si="3"/>
        <v>1.2255275559867862</v>
      </c>
      <c r="J12" t="str">
        <f t="shared" si="4"/>
        <v>Iris-setosa</v>
      </c>
      <c r="K12">
        <f t="shared" si="5"/>
        <v>1</v>
      </c>
    </row>
    <row r="13" spans="1:16" x14ac:dyDescent="0.3">
      <c r="A13">
        <v>4.8</v>
      </c>
      <c r="B13">
        <v>3.4</v>
      </c>
      <c r="C13">
        <v>1.6</v>
      </c>
      <c r="D13">
        <v>0.2</v>
      </c>
      <c r="E13" t="s">
        <v>5</v>
      </c>
      <c r="F13">
        <f t="shared" si="0"/>
        <v>1.9048592220718441</v>
      </c>
      <c r="G13">
        <f t="shared" si="1"/>
        <v>6.5961043245203593E-17</v>
      </c>
      <c r="H13">
        <f t="shared" si="2"/>
        <v>3.989002801364689E-24</v>
      </c>
      <c r="I13">
        <f t="shared" si="3"/>
        <v>1.9048592220718441</v>
      </c>
      <c r="J13" t="str">
        <f t="shared" si="4"/>
        <v>Iris-setosa</v>
      </c>
      <c r="K13">
        <f t="shared" si="5"/>
        <v>1</v>
      </c>
      <c r="O13" t="s">
        <v>6</v>
      </c>
    </row>
    <row r="14" spans="1:16" x14ac:dyDescent="0.3">
      <c r="A14">
        <v>4.8</v>
      </c>
      <c r="B14">
        <v>3</v>
      </c>
      <c r="C14">
        <v>1.4</v>
      </c>
      <c r="D14">
        <v>0.1</v>
      </c>
      <c r="E14" t="s">
        <v>5</v>
      </c>
      <c r="F14">
        <f t="shared" si="0"/>
        <v>0.58572787780702973</v>
      </c>
      <c r="G14">
        <f t="shared" si="1"/>
        <v>1.5353880564682939E-18</v>
      </c>
      <c r="H14">
        <f t="shared" si="2"/>
        <v>5.5304883110299764E-26</v>
      </c>
      <c r="I14">
        <f t="shared" si="3"/>
        <v>0.58572787780702973</v>
      </c>
      <c r="J14" t="str">
        <f t="shared" si="4"/>
        <v>Iris-setosa</v>
      </c>
      <c r="K14">
        <f t="shared" si="5"/>
        <v>1</v>
      </c>
      <c r="M14" t="s">
        <v>0</v>
      </c>
      <c r="N14" t="s">
        <v>1</v>
      </c>
      <c r="O14" t="s">
        <v>2</v>
      </c>
      <c r="P14" t="s">
        <v>3</v>
      </c>
    </row>
    <row r="15" spans="1:16" x14ac:dyDescent="0.3">
      <c r="A15">
        <v>4.3</v>
      </c>
      <c r="B15">
        <v>3</v>
      </c>
      <c r="C15">
        <v>1.1000000000000001</v>
      </c>
      <c r="D15">
        <v>0.1</v>
      </c>
      <c r="E15" t="s">
        <v>5</v>
      </c>
      <c r="F15">
        <f t="shared" si="0"/>
        <v>1.1082569544126715E-2</v>
      </c>
      <c r="G15">
        <f t="shared" si="1"/>
        <v>1.9081503326777646E-21</v>
      </c>
      <c r="H15">
        <f t="shared" si="2"/>
        <v>6.4281731727565144E-29</v>
      </c>
      <c r="I15">
        <f t="shared" si="3"/>
        <v>1.1082569544126715E-2</v>
      </c>
      <c r="J15" t="str">
        <f t="shared" si="4"/>
        <v>Iris-setosa</v>
      </c>
      <c r="K15">
        <f t="shared" si="5"/>
        <v>1</v>
      </c>
      <c r="L15" t="s">
        <v>11</v>
      </c>
      <c r="M15">
        <f>AVERAGE(A52:A101)</f>
        <v>5.9359999999999999</v>
      </c>
      <c r="N15">
        <f>AVERAGE(B52:B101)</f>
        <v>2.7700000000000005</v>
      </c>
      <c r="O15">
        <f>AVERAGE(C52:C101)</f>
        <v>4.26</v>
      </c>
      <c r="P15">
        <f>AVERAGE(D52:D101)</f>
        <v>1.3259999999999998</v>
      </c>
    </row>
    <row r="16" spans="1:16" x14ac:dyDescent="0.3">
      <c r="A16">
        <v>5.8</v>
      </c>
      <c r="B16">
        <v>4</v>
      </c>
      <c r="C16">
        <v>1.2</v>
      </c>
      <c r="D16">
        <v>0.2</v>
      </c>
      <c r="E16" t="s">
        <v>5</v>
      </c>
      <c r="F16">
        <f t="shared" si="0"/>
        <v>2.3811492141781878E-2</v>
      </c>
      <c r="G16">
        <f t="shared" si="1"/>
        <v>1.3962878871343581E-20</v>
      </c>
      <c r="H16">
        <f t="shared" si="2"/>
        <v>6.2701426157309313E-27</v>
      </c>
      <c r="I16">
        <f t="shared" si="3"/>
        <v>2.3811492141781878E-2</v>
      </c>
      <c r="J16" t="str">
        <f t="shared" si="4"/>
        <v>Iris-setosa</v>
      </c>
      <c r="K16">
        <f t="shared" si="5"/>
        <v>1</v>
      </c>
      <c r="L16" t="s">
        <v>12</v>
      </c>
      <c r="M16">
        <f>STDEV(A52:A101)</f>
        <v>0.51617114706386347</v>
      </c>
      <c r="N16">
        <f>STDEV(B52:B101)</f>
        <v>0.31379832337840918</v>
      </c>
      <c r="O16">
        <f>STDEV(C52:C101)</f>
        <v>0.46991097723996639</v>
      </c>
      <c r="P16">
        <f>STDEV(D52:D101)</f>
        <v>0.19775268000454274</v>
      </c>
    </row>
    <row r="17" spans="1:16" x14ac:dyDescent="0.3">
      <c r="A17">
        <v>5.7</v>
      </c>
      <c r="B17">
        <v>4.4000000000000004</v>
      </c>
      <c r="C17">
        <v>1.5</v>
      </c>
      <c r="D17">
        <v>0.4</v>
      </c>
      <c r="E17" t="s">
        <v>5</v>
      </c>
      <c r="F17">
        <f t="shared" si="0"/>
        <v>5.9058473884835497E-3</v>
      </c>
      <c r="G17">
        <f t="shared" si="1"/>
        <v>3.8701031103521676E-19</v>
      </c>
      <c r="H17">
        <f t="shared" si="2"/>
        <v>2.7819600671801494E-25</v>
      </c>
      <c r="I17">
        <f t="shared" si="3"/>
        <v>5.9058473884835497E-3</v>
      </c>
      <c r="J17" t="str">
        <f t="shared" si="4"/>
        <v>Iris-setosa</v>
      </c>
      <c r="K17">
        <f t="shared" si="5"/>
        <v>1</v>
      </c>
    </row>
    <row r="18" spans="1:16" x14ac:dyDescent="0.3">
      <c r="A18">
        <v>5.4</v>
      </c>
      <c r="B18">
        <v>3.9</v>
      </c>
      <c r="C18">
        <v>1.3</v>
      </c>
      <c r="D18">
        <v>0.4</v>
      </c>
      <c r="E18" t="s">
        <v>5</v>
      </c>
      <c r="F18">
        <f t="shared" si="0"/>
        <v>0.17862478212860311</v>
      </c>
      <c r="G18">
        <f t="shared" si="1"/>
        <v>2.0757971922086752E-17</v>
      </c>
      <c r="H18">
        <f t="shared" si="2"/>
        <v>2.4054777414445145E-24</v>
      </c>
      <c r="I18">
        <f t="shared" si="3"/>
        <v>0.17862478212860311</v>
      </c>
      <c r="J18" t="str">
        <f t="shared" si="4"/>
        <v>Iris-setosa</v>
      </c>
      <c r="K18">
        <f t="shared" si="5"/>
        <v>1</v>
      </c>
    </row>
    <row r="19" spans="1:16" x14ac:dyDescent="0.3">
      <c r="A19">
        <v>5.0999999999999996</v>
      </c>
      <c r="B19">
        <v>3.5</v>
      </c>
      <c r="C19">
        <v>1.4</v>
      </c>
      <c r="D19">
        <v>0.3</v>
      </c>
      <c r="E19" t="s">
        <v>5</v>
      </c>
      <c r="F19">
        <f t="shared" si="0"/>
        <v>2.57160734039832</v>
      </c>
      <c r="G19">
        <f t="shared" si="1"/>
        <v>1.2907463535445517E-16</v>
      </c>
      <c r="H19">
        <f t="shared" si="2"/>
        <v>6.2647887518534859E-24</v>
      </c>
      <c r="I19">
        <f t="shared" si="3"/>
        <v>2.57160734039832</v>
      </c>
      <c r="J19" t="str">
        <f t="shared" si="4"/>
        <v>Iris-setosa</v>
      </c>
      <c r="K19">
        <f t="shared" si="5"/>
        <v>1</v>
      </c>
      <c r="O19" t="s">
        <v>7</v>
      </c>
    </row>
    <row r="20" spans="1:16" x14ac:dyDescent="0.3">
      <c r="A20">
        <v>5.7</v>
      </c>
      <c r="B20">
        <v>3.8</v>
      </c>
      <c r="C20">
        <v>1.7</v>
      </c>
      <c r="D20">
        <v>0.3</v>
      </c>
      <c r="E20" t="s">
        <v>5</v>
      </c>
      <c r="F20">
        <f t="shared" si="0"/>
        <v>0.10081431061139078</v>
      </c>
      <c r="G20">
        <f t="shared" si="1"/>
        <v>1.1740408182577446E-15</v>
      </c>
      <c r="H20">
        <f t="shared" si="2"/>
        <v>2.6762933151487665E-22</v>
      </c>
      <c r="I20">
        <f t="shared" si="3"/>
        <v>0.10081431061139078</v>
      </c>
      <c r="J20" t="str">
        <f t="shared" si="4"/>
        <v>Iris-setosa</v>
      </c>
      <c r="K20">
        <f t="shared" si="5"/>
        <v>1</v>
      </c>
      <c r="M20" t="s">
        <v>0</v>
      </c>
      <c r="N20" t="s">
        <v>1</v>
      </c>
      <c r="O20" t="s">
        <v>2</v>
      </c>
      <c r="P20" t="s">
        <v>3</v>
      </c>
    </row>
    <row r="21" spans="1:16" x14ac:dyDescent="0.3">
      <c r="A21">
        <v>5.0999999999999996</v>
      </c>
      <c r="B21">
        <v>3.8</v>
      </c>
      <c r="C21">
        <v>1.5</v>
      </c>
      <c r="D21">
        <v>0.3</v>
      </c>
      <c r="E21" t="s">
        <v>5</v>
      </c>
      <c r="F21">
        <f t="shared" si="0"/>
        <v>1.6680029497436208</v>
      </c>
      <c r="G21">
        <f t="shared" si="1"/>
        <v>3.1560469366326441E-17</v>
      </c>
      <c r="H21">
        <f t="shared" si="2"/>
        <v>3.4272552129451386E-24</v>
      </c>
      <c r="I21">
        <f t="shared" si="3"/>
        <v>1.6680029497436208</v>
      </c>
      <c r="J21" t="str">
        <f t="shared" si="4"/>
        <v>Iris-setosa</v>
      </c>
      <c r="K21">
        <f t="shared" si="5"/>
        <v>1</v>
      </c>
      <c r="L21" t="s">
        <v>11</v>
      </c>
      <c r="M21">
        <f>AVERAGE(A102:A151)</f>
        <v>6.5879999999999983</v>
      </c>
      <c r="N21">
        <f>AVERAGE(B102:B151)</f>
        <v>2.9739999999999998</v>
      </c>
      <c r="O21">
        <f>AVERAGE(C102:C151)</f>
        <v>5.5519999999999996</v>
      </c>
      <c r="P21">
        <f>AVERAGE(D102:D151)</f>
        <v>2.0259999999999998</v>
      </c>
    </row>
    <row r="22" spans="1:16" x14ac:dyDescent="0.3">
      <c r="A22">
        <v>5.4</v>
      </c>
      <c r="B22">
        <v>3.4</v>
      </c>
      <c r="C22">
        <v>1.7</v>
      </c>
      <c r="D22">
        <v>0.2</v>
      </c>
      <c r="E22" t="s">
        <v>5</v>
      </c>
      <c r="F22">
        <f t="shared" si="0"/>
        <v>0.65224586401252549</v>
      </c>
      <c r="G22">
        <f t="shared" si="1"/>
        <v>1.4133163684678445E-15</v>
      </c>
      <c r="H22">
        <f t="shared" si="2"/>
        <v>1.3066596777925628E-22</v>
      </c>
      <c r="I22">
        <f t="shared" si="3"/>
        <v>0.65224586401252549</v>
      </c>
      <c r="J22" t="str">
        <f t="shared" si="4"/>
        <v>Iris-setosa</v>
      </c>
      <c r="K22">
        <f t="shared" si="5"/>
        <v>1</v>
      </c>
      <c r="L22" t="s">
        <v>12</v>
      </c>
      <c r="M22">
        <f>STDEV(A102:A151)</f>
        <v>0.635879593274432</v>
      </c>
      <c r="N22">
        <f>STDEV(B102:B151)</f>
        <v>0.32249663817263963</v>
      </c>
      <c r="O22">
        <f>STDEV(C102:C151)</f>
        <v>0.55189469566398353</v>
      </c>
      <c r="P22">
        <f>STDEV(D102:D151)</f>
        <v>0.27465005563666967</v>
      </c>
    </row>
    <row r="23" spans="1:16" x14ac:dyDescent="0.3">
      <c r="A23">
        <v>5.0999999999999996</v>
      </c>
      <c r="B23">
        <v>3.7</v>
      </c>
      <c r="C23">
        <v>1.5</v>
      </c>
      <c r="D23">
        <v>0.4</v>
      </c>
      <c r="E23" t="s">
        <v>5</v>
      </c>
      <c r="F23">
        <f t="shared" si="0"/>
        <v>0.83366739613844498</v>
      </c>
      <c r="G23">
        <f t="shared" si="1"/>
        <v>1.0357814163837957E-15</v>
      </c>
      <c r="H23">
        <f t="shared" si="2"/>
        <v>6.6668577620831408E-23</v>
      </c>
      <c r="I23">
        <f t="shared" si="3"/>
        <v>0.83366739613844498</v>
      </c>
      <c r="J23" t="str">
        <f t="shared" si="4"/>
        <v>Iris-setosa</v>
      </c>
      <c r="K23">
        <f t="shared" si="5"/>
        <v>1</v>
      </c>
    </row>
    <row r="24" spans="1:16" x14ac:dyDescent="0.3">
      <c r="A24">
        <v>4.5999999999999996</v>
      </c>
      <c r="B24">
        <v>3.6</v>
      </c>
      <c r="C24">
        <v>1</v>
      </c>
      <c r="D24">
        <v>0.2</v>
      </c>
      <c r="E24" t="s">
        <v>5</v>
      </c>
      <c r="F24">
        <f t="shared" si="0"/>
        <v>3.957518557532709E-2</v>
      </c>
      <c r="G24">
        <f t="shared" si="1"/>
        <v>1.9029922943169183E-21</v>
      </c>
      <c r="H24">
        <f t="shared" si="2"/>
        <v>1.3133888561601268E-28</v>
      </c>
      <c r="I24">
        <f t="shared" si="3"/>
        <v>3.957518557532709E-2</v>
      </c>
      <c r="J24" t="str">
        <f t="shared" si="4"/>
        <v>Iris-setosa</v>
      </c>
      <c r="K24">
        <f t="shared" si="5"/>
        <v>1</v>
      </c>
      <c r="M24" t="s">
        <v>19</v>
      </c>
      <c r="N24">
        <f>144/150</f>
        <v>0.96</v>
      </c>
    </row>
    <row r="25" spans="1:16" x14ac:dyDescent="0.3">
      <c r="A25">
        <v>5.0999999999999996</v>
      </c>
      <c r="B25">
        <v>3.3</v>
      </c>
      <c r="C25">
        <v>1.7</v>
      </c>
      <c r="D25">
        <v>0.5</v>
      </c>
      <c r="E25" t="s">
        <v>5</v>
      </c>
      <c r="F25">
        <f t="shared" si="0"/>
        <v>7.0529590840356565E-2</v>
      </c>
      <c r="G25">
        <f t="shared" si="1"/>
        <v>2.1003207029812774E-12</v>
      </c>
      <c r="H25">
        <f t="shared" si="2"/>
        <v>5.4556655969726029E-20</v>
      </c>
      <c r="I25">
        <f t="shared" si="3"/>
        <v>7.0529590840356565E-2</v>
      </c>
      <c r="J25" t="str">
        <f t="shared" si="4"/>
        <v>Iris-setosa</v>
      </c>
      <c r="K25">
        <f t="shared" si="5"/>
        <v>1</v>
      </c>
    </row>
    <row r="26" spans="1:16" x14ac:dyDescent="0.3">
      <c r="A26">
        <v>4.8</v>
      </c>
      <c r="B26">
        <v>3.4</v>
      </c>
      <c r="C26">
        <v>1.9</v>
      </c>
      <c r="D26">
        <v>0.2</v>
      </c>
      <c r="E26" t="s">
        <v>5</v>
      </c>
      <c r="F26">
        <f t="shared" si="0"/>
        <v>0.11019425143896962</v>
      </c>
      <c r="G26">
        <f t="shared" si="1"/>
        <v>1.9964746936194798E-15</v>
      </c>
      <c r="H26">
        <f t="shared" si="2"/>
        <v>1.6872579340352789E-22</v>
      </c>
      <c r="I26">
        <f t="shared" si="3"/>
        <v>0.11019425143896962</v>
      </c>
      <c r="J26" t="str">
        <f t="shared" si="4"/>
        <v>Iris-setosa</v>
      </c>
      <c r="K26">
        <f t="shared" si="5"/>
        <v>1</v>
      </c>
    </row>
    <row r="27" spans="1:16" x14ac:dyDescent="0.3">
      <c r="A27">
        <v>5</v>
      </c>
      <c r="B27">
        <v>3</v>
      </c>
      <c r="C27">
        <v>1.6</v>
      </c>
      <c r="D27">
        <v>0.2</v>
      </c>
      <c r="E27" t="s">
        <v>5</v>
      </c>
      <c r="F27">
        <f t="shared" si="0"/>
        <v>1.2391155582475368</v>
      </c>
      <c r="G27">
        <f t="shared" si="1"/>
        <v>8.234332758224968E-16</v>
      </c>
      <c r="H27">
        <f t="shared" si="2"/>
        <v>2.1925995084101178E-23</v>
      </c>
      <c r="I27">
        <f t="shared" si="3"/>
        <v>1.2391155582475368</v>
      </c>
      <c r="J27" t="str">
        <f t="shared" si="4"/>
        <v>Iris-setosa</v>
      </c>
      <c r="K27">
        <f t="shared" si="5"/>
        <v>1</v>
      </c>
    </row>
    <row r="28" spans="1:16" x14ac:dyDescent="0.3">
      <c r="A28">
        <v>5</v>
      </c>
      <c r="B28">
        <v>3.4</v>
      </c>
      <c r="C28">
        <v>1.6</v>
      </c>
      <c r="D28">
        <v>0.4</v>
      </c>
      <c r="E28" t="s">
        <v>5</v>
      </c>
      <c r="F28">
        <f t="shared" si="0"/>
        <v>0.85265644984001532</v>
      </c>
      <c r="G28">
        <f t="shared" si="1"/>
        <v>2.7282669763899289E-14</v>
      </c>
      <c r="H28">
        <f t="shared" si="2"/>
        <v>8.9314039405599483E-22</v>
      </c>
      <c r="I28">
        <f t="shared" si="3"/>
        <v>0.85265644984001532</v>
      </c>
      <c r="J28" t="str">
        <f t="shared" si="4"/>
        <v>Iris-setosa</v>
      </c>
      <c r="K28">
        <f t="shared" si="5"/>
        <v>1</v>
      </c>
    </row>
    <row r="29" spans="1:16" x14ac:dyDescent="0.3">
      <c r="A29">
        <v>5.2</v>
      </c>
      <c r="B29">
        <v>3.5</v>
      </c>
      <c r="C29">
        <v>1.5</v>
      </c>
      <c r="D29">
        <v>0.2</v>
      </c>
      <c r="E29" t="s">
        <v>5</v>
      </c>
      <c r="F29">
        <f t="shared" si="0"/>
        <v>2.5277729986034072</v>
      </c>
      <c r="G29">
        <f t="shared" si="1"/>
        <v>3.9506420546710089E-17</v>
      </c>
      <c r="H29">
        <f t="shared" si="2"/>
        <v>3.2638383532621287E-24</v>
      </c>
      <c r="I29">
        <f t="shared" si="3"/>
        <v>2.5277729986034072</v>
      </c>
      <c r="J29" t="str">
        <f t="shared" si="4"/>
        <v>Iris-setosa</v>
      </c>
      <c r="K29">
        <f t="shared" si="5"/>
        <v>1</v>
      </c>
    </row>
    <row r="30" spans="1:16" x14ac:dyDescent="0.3">
      <c r="A30">
        <v>5.2</v>
      </c>
      <c r="B30">
        <v>3.4</v>
      </c>
      <c r="C30">
        <v>1.4</v>
      </c>
      <c r="D30">
        <v>0.2</v>
      </c>
      <c r="E30" t="s">
        <v>5</v>
      </c>
      <c r="F30">
        <f t="shared" si="0"/>
        <v>2.4666924734442164</v>
      </c>
      <c r="G30">
        <f t="shared" si="1"/>
        <v>2.2075807387755077E-17</v>
      </c>
      <c r="H30">
        <f t="shared" si="2"/>
        <v>1.3415691583994011E-24</v>
      </c>
      <c r="I30">
        <f t="shared" si="3"/>
        <v>2.4666924734442164</v>
      </c>
      <c r="J30" t="str">
        <f t="shared" si="4"/>
        <v>Iris-setosa</v>
      </c>
      <c r="K30">
        <f t="shared" si="5"/>
        <v>1</v>
      </c>
    </row>
    <row r="31" spans="1:16" x14ac:dyDescent="0.3">
      <c r="A31">
        <v>4.7</v>
      </c>
      <c r="B31">
        <v>3.2</v>
      </c>
      <c r="C31">
        <v>1.6</v>
      </c>
      <c r="D31">
        <v>0.2</v>
      </c>
      <c r="E31" t="s">
        <v>5</v>
      </c>
      <c r="F31">
        <f t="shared" si="0"/>
        <v>1.3176013365292449</v>
      </c>
      <c r="G31">
        <f t="shared" si="1"/>
        <v>1.2401473190306336E-16</v>
      </c>
      <c r="H31">
        <f t="shared" si="2"/>
        <v>4.7392316467895064E-24</v>
      </c>
      <c r="I31">
        <f t="shared" si="3"/>
        <v>1.3176013365292449</v>
      </c>
      <c r="J31" t="str">
        <f t="shared" si="4"/>
        <v>Iris-setosa</v>
      </c>
      <c r="K31">
        <f t="shared" si="5"/>
        <v>1</v>
      </c>
    </row>
    <row r="32" spans="1:16" x14ac:dyDescent="0.3">
      <c r="A32">
        <v>4.8</v>
      </c>
      <c r="B32">
        <v>3.1</v>
      </c>
      <c r="C32">
        <v>1.6</v>
      </c>
      <c r="D32">
        <v>0.2</v>
      </c>
      <c r="E32" t="s">
        <v>5</v>
      </c>
      <c r="F32">
        <f t="shared" si="0"/>
        <v>1.3461543195359584</v>
      </c>
      <c r="G32">
        <f t="shared" si="1"/>
        <v>2.8470334219907645E-16</v>
      </c>
      <c r="H32">
        <f t="shared" si="2"/>
        <v>8.8433333056333287E-24</v>
      </c>
      <c r="I32">
        <f t="shared" si="3"/>
        <v>1.3461543195359584</v>
      </c>
      <c r="J32" t="str">
        <f t="shared" si="4"/>
        <v>Iris-setosa</v>
      </c>
      <c r="K32">
        <f t="shared" si="5"/>
        <v>1</v>
      </c>
    </row>
    <row r="33" spans="1:11" x14ac:dyDescent="0.3">
      <c r="A33">
        <v>5.4</v>
      </c>
      <c r="B33">
        <v>3.4</v>
      </c>
      <c r="C33">
        <v>1.5</v>
      </c>
      <c r="D33">
        <v>0.4</v>
      </c>
      <c r="E33" t="s">
        <v>5</v>
      </c>
      <c r="F33">
        <f t="shared" si="0"/>
        <v>0.60756579904971653</v>
      </c>
      <c r="G33">
        <f t="shared" si="1"/>
        <v>2.4142095918505317E-14</v>
      </c>
      <c r="H33">
        <f t="shared" si="2"/>
        <v>9.4759658944715831E-22</v>
      </c>
      <c r="I33">
        <f t="shared" si="3"/>
        <v>0.60756579904971653</v>
      </c>
      <c r="J33" t="str">
        <f t="shared" si="4"/>
        <v>Iris-setosa</v>
      </c>
      <c r="K33">
        <f t="shared" si="5"/>
        <v>1</v>
      </c>
    </row>
    <row r="34" spans="1:11" x14ac:dyDescent="0.3">
      <c r="A34">
        <v>5.2</v>
      </c>
      <c r="B34">
        <v>4.0999999999999996</v>
      </c>
      <c r="C34">
        <v>1.5</v>
      </c>
      <c r="D34">
        <v>0.1</v>
      </c>
      <c r="E34" t="s">
        <v>5</v>
      </c>
      <c r="F34">
        <f t="shared" si="0"/>
        <v>0.23010436358776687</v>
      </c>
      <c r="G34">
        <f t="shared" si="1"/>
        <v>3.6728008799194327E-21</v>
      </c>
      <c r="H34">
        <f t="shared" si="2"/>
        <v>2.3128371112132686E-27</v>
      </c>
      <c r="I34">
        <f t="shared" si="3"/>
        <v>0.23010436358776687</v>
      </c>
      <c r="J34" t="str">
        <f t="shared" si="4"/>
        <v>Iris-setosa</v>
      </c>
      <c r="K34">
        <f t="shared" si="5"/>
        <v>1</v>
      </c>
    </row>
    <row r="35" spans="1:11" x14ac:dyDescent="0.3">
      <c r="A35">
        <v>5.5</v>
      </c>
      <c r="B35">
        <v>4.2</v>
      </c>
      <c r="C35">
        <v>1.4</v>
      </c>
      <c r="D35">
        <v>0.2</v>
      </c>
      <c r="E35" t="s">
        <v>5</v>
      </c>
      <c r="F35">
        <f t="shared" si="0"/>
        <v>0.1309825457296187</v>
      </c>
      <c r="G35">
        <f t="shared" si="1"/>
        <v>9.9143552452975858E-21</v>
      </c>
      <c r="H35">
        <f t="shared" si="2"/>
        <v>5.8504924698433752E-27</v>
      </c>
      <c r="I35">
        <f t="shared" si="3"/>
        <v>0.1309825457296187</v>
      </c>
      <c r="J35" t="str">
        <f t="shared" si="4"/>
        <v>Iris-setosa</v>
      </c>
      <c r="K35">
        <f t="shared" si="5"/>
        <v>1</v>
      </c>
    </row>
    <row r="36" spans="1:11" x14ac:dyDescent="0.3">
      <c r="A36">
        <v>4.9000000000000004</v>
      </c>
      <c r="B36">
        <v>3.1</v>
      </c>
      <c r="C36">
        <v>1.5</v>
      </c>
      <c r="D36">
        <v>0.1</v>
      </c>
      <c r="E36" t="s">
        <v>5</v>
      </c>
      <c r="F36">
        <f t="shared" si="0"/>
        <v>0.89640380153771115</v>
      </c>
      <c r="G36">
        <f t="shared" si="1"/>
        <v>6.2002483725835531E-18</v>
      </c>
      <c r="H36">
        <f t="shared" si="2"/>
        <v>3.037966932566693E-25</v>
      </c>
      <c r="I36">
        <f t="shared" si="3"/>
        <v>0.89640380153771115</v>
      </c>
      <c r="J36" t="str">
        <f t="shared" si="4"/>
        <v>Iris-setosa</v>
      </c>
      <c r="K36">
        <f t="shared" si="5"/>
        <v>1</v>
      </c>
    </row>
    <row r="37" spans="1:11" x14ac:dyDescent="0.3">
      <c r="A37">
        <v>5</v>
      </c>
      <c r="B37">
        <v>3.2</v>
      </c>
      <c r="C37">
        <v>1.2</v>
      </c>
      <c r="D37">
        <v>0.2</v>
      </c>
      <c r="E37" t="s">
        <v>5</v>
      </c>
      <c r="F37">
        <f t="shared" si="0"/>
        <v>0.82049340009587046</v>
      </c>
      <c r="G37">
        <f t="shared" si="1"/>
        <v>2.3689506982609398E-18</v>
      </c>
      <c r="H37">
        <f t="shared" si="2"/>
        <v>7.373770272644593E-26</v>
      </c>
      <c r="I37">
        <f t="shared" si="3"/>
        <v>0.82049340009587046</v>
      </c>
      <c r="J37" t="str">
        <f t="shared" si="4"/>
        <v>Iris-setosa</v>
      </c>
      <c r="K37">
        <f t="shared" si="5"/>
        <v>1</v>
      </c>
    </row>
    <row r="38" spans="1:11" x14ac:dyDescent="0.3">
      <c r="A38">
        <v>5.5</v>
      </c>
      <c r="B38">
        <v>3.5</v>
      </c>
      <c r="C38">
        <v>1.3</v>
      </c>
      <c r="D38">
        <v>0.2</v>
      </c>
      <c r="E38" t="s">
        <v>5</v>
      </c>
      <c r="F38">
        <f t="shared" si="0"/>
        <v>0.72006461015554102</v>
      </c>
      <c r="G38">
        <f t="shared" si="1"/>
        <v>5.7310804191088521E-18</v>
      </c>
      <c r="H38">
        <f t="shared" si="2"/>
        <v>5.3532750427697908E-25</v>
      </c>
      <c r="I38">
        <f t="shared" si="3"/>
        <v>0.72006461015554102</v>
      </c>
      <c r="J38" t="str">
        <f t="shared" si="4"/>
        <v>Iris-setosa</v>
      </c>
      <c r="K38">
        <f t="shared" si="5"/>
        <v>1</v>
      </c>
    </row>
    <row r="39" spans="1:11" x14ac:dyDescent="0.3">
      <c r="A39">
        <v>4.9000000000000004</v>
      </c>
      <c r="B39">
        <v>3.1</v>
      </c>
      <c r="C39">
        <v>1.5</v>
      </c>
      <c r="D39">
        <v>0.1</v>
      </c>
      <c r="E39" t="s">
        <v>5</v>
      </c>
      <c r="F39">
        <f t="shared" si="0"/>
        <v>0.89640380153771115</v>
      </c>
      <c r="G39">
        <f t="shared" si="1"/>
        <v>6.2002483725835531E-18</v>
      </c>
      <c r="H39">
        <f t="shared" si="2"/>
        <v>3.037966932566693E-25</v>
      </c>
      <c r="I39">
        <f t="shared" si="3"/>
        <v>0.89640380153771115</v>
      </c>
      <c r="J39" t="str">
        <f t="shared" si="4"/>
        <v>Iris-setosa</v>
      </c>
      <c r="K39">
        <f t="shared" si="5"/>
        <v>1</v>
      </c>
    </row>
    <row r="40" spans="1:11" x14ac:dyDescent="0.3">
      <c r="A40">
        <v>4.4000000000000004</v>
      </c>
      <c r="B40">
        <v>3</v>
      </c>
      <c r="C40">
        <v>1.3</v>
      </c>
      <c r="D40">
        <v>0.2</v>
      </c>
      <c r="E40" t="s">
        <v>5</v>
      </c>
      <c r="F40">
        <f t="shared" si="0"/>
        <v>0.24591071073946888</v>
      </c>
      <c r="G40">
        <f t="shared" si="1"/>
        <v>1.1189462709516723E-18</v>
      </c>
      <c r="H40">
        <f t="shared" si="2"/>
        <v>2.3420938796801686E-26</v>
      </c>
      <c r="I40">
        <f t="shared" si="3"/>
        <v>0.24591071073946888</v>
      </c>
      <c r="J40" t="str">
        <f t="shared" si="4"/>
        <v>Iris-setosa</v>
      </c>
      <c r="K40">
        <f t="shared" si="5"/>
        <v>1</v>
      </c>
    </row>
    <row r="41" spans="1:11" x14ac:dyDescent="0.3">
      <c r="A41">
        <v>5.0999999999999996</v>
      </c>
      <c r="B41">
        <v>3.4</v>
      </c>
      <c r="C41">
        <v>1.5</v>
      </c>
      <c r="D41">
        <v>0.2</v>
      </c>
      <c r="E41" t="s">
        <v>5</v>
      </c>
      <c r="F41">
        <f t="shared" si="0"/>
        <v>2.901641661303318</v>
      </c>
      <c r="G41">
        <f t="shared" si="1"/>
        <v>5.8675617574371143E-17</v>
      </c>
      <c r="H41">
        <f t="shared" si="2"/>
        <v>3.6144491982480139E-24</v>
      </c>
      <c r="I41">
        <f t="shared" si="3"/>
        <v>2.901641661303318</v>
      </c>
      <c r="J41" t="str">
        <f t="shared" si="4"/>
        <v>Iris-setosa</v>
      </c>
      <c r="K41">
        <f t="shared" si="5"/>
        <v>1</v>
      </c>
    </row>
    <row r="42" spans="1:11" x14ac:dyDescent="0.3">
      <c r="A42">
        <v>5</v>
      </c>
      <c r="B42">
        <v>3.5</v>
      </c>
      <c r="C42">
        <v>1.3</v>
      </c>
      <c r="D42">
        <v>0.3</v>
      </c>
      <c r="E42" t="s">
        <v>5</v>
      </c>
      <c r="F42">
        <f t="shared" si="0"/>
        <v>1.8244587592245212</v>
      </c>
      <c r="G42">
        <f t="shared" si="1"/>
        <v>2.477937477913657E-17</v>
      </c>
      <c r="H42">
        <f t="shared" si="2"/>
        <v>1.0778895703301351E-24</v>
      </c>
      <c r="I42">
        <f t="shared" si="3"/>
        <v>1.8244587592245212</v>
      </c>
      <c r="J42" t="str">
        <f t="shared" si="4"/>
        <v>Iris-setosa</v>
      </c>
      <c r="K42">
        <f t="shared" si="5"/>
        <v>1</v>
      </c>
    </row>
    <row r="43" spans="1:11" x14ac:dyDescent="0.3">
      <c r="A43">
        <v>4.5</v>
      </c>
      <c r="B43">
        <v>2.2999999999999998</v>
      </c>
      <c r="C43">
        <v>1.3</v>
      </c>
      <c r="D43">
        <v>0.3</v>
      </c>
      <c r="E43" t="s">
        <v>5</v>
      </c>
      <c r="F43">
        <f t="shared" si="0"/>
        <v>9.0002790490098898E-3</v>
      </c>
      <c r="G43">
        <f t="shared" si="1"/>
        <v>1.3046986422122944E-17</v>
      </c>
      <c r="H43">
        <f t="shared" si="2"/>
        <v>4.7281733309112469E-26</v>
      </c>
      <c r="I43">
        <f t="shared" si="3"/>
        <v>9.0002790490098898E-3</v>
      </c>
      <c r="J43" t="str">
        <f t="shared" si="4"/>
        <v>Iris-setosa</v>
      </c>
      <c r="K43">
        <f t="shared" si="5"/>
        <v>1</v>
      </c>
    </row>
    <row r="44" spans="1:11" x14ac:dyDescent="0.3">
      <c r="A44">
        <v>4.4000000000000004</v>
      </c>
      <c r="B44">
        <v>3.2</v>
      </c>
      <c r="C44">
        <v>1.3</v>
      </c>
      <c r="D44">
        <v>0.2</v>
      </c>
      <c r="E44" t="s">
        <v>5</v>
      </c>
      <c r="F44">
        <f t="shared" si="0"/>
        <v>0.38109420709883113</v>
      </c>
      <c r="G44">
        <f t="shared" si="1"/>
        <v>5.7242608880292871E-19</v>
      </c>
      <c r="H44">
        <f t="shared" si="2"/>
        <v>1.8381270887484529E-26</v>
      </c>
      <c r="I44">
        <f t="shared" si="3"/>
        <v>0.38109420709883113</v>
      </c>
      <c r="J44" t="str">
        <f t="shared" si="4"/>
        <v>Iris-setosa</v>
      </c>
      <c r="K44">
        <f t="shared" si="5"/>
        <v>1</v>
      </c>
    </row>
    <row r="45" spans="1:11" x14ac:dyDescent="0.3">
      <c r="A45">
        <v>5</v>
      </c>
      <c r="B45">
        <v>3.5</v>
      </c>
      <c r="C45">
        <v>1.6</v>
      </c>
      <c r="D45">
        <v>0.6</v>
      </c>
      <c r="E45" t="s">
        <v>5</v>
      </c>
      <c r="F45">
        <f t="shared" si="0"/>
        <v>9.696544560360721E-3</v>
      </c>
      <c r="G45">
        <f t="shared" si="1"/>
        <v>9.3456782992815476E-13</v>
      </c>
      <c r="H45">
        <f t="shared" si="2"/>
        <v>3.2307756551785168E-20</v>
      </c>
      <c r="I45">
        <f t="shared" si="3"/>
        <v>9.696544560360721E-3</v>
      </c>
      <c r="J45" t="str">
        <f t="shared" si="4"/>
        <v>Iris-setosa</v>
      </c>
      <c r="K45">
        <f t="shared" si="5"/>
        <v>1</v>
      </c>
    </row>
    <row r="46" spans="1:11" x14ac:dyDescent="0.3">
      <c r="A46">
        <v>5.0999999999999996</v>
      </c>
      <c r="B46">
        <v>3.8</v>
      </c>
      <c r="C46">
        <v>1.9</v>
      </c>
      <c r="D46">
        <v>0.4</v>
      </c>
      <c r="E46" t="s">
        <v>5</v>
      </c>
      <c r="F46">
        <f t="shared" si="0"/>
        <v>2.8834638795863704E-2</v>
      </c>
      <c r="G46">
        <f t="shared" si="1"/>
        <v>3.953796048617193E-14</v>
      </c>
      <c r="H46">
        <f t="shared" si="2"/>
        <v>4.9753441853393107E-21</v>
      </c>
      <c r="I46">
        <f t="shared" si="3"/>
        <v>2.8834638795863704E-2</v>
      </c>
      <c r="J46" t="str">
        <f t="shared" si="4"/>
        <v>Iris-setosa</v>
      </c>
      <c r="K46">
        <f t="shared" si="5"/>
        <v>1</v>
      </c>
    </row>
    <row r="47" spans="1:11" x14ac:dyDescent="0.3">
      <c r="A47">
        <v>4.8</v>
      </c>
      <c r="B47">
        <v>3</v>
      </c>
      <c r="C47">
        <v>1.4</v>
      </c>
      <c r="D47">
        <v>0.3</v>
      </c>
      <c r="E47" t="s">
        <v>5</v>
      </c>
      <c r="F47">
        <f t="shared" si="0"/>
        <v>1.2595128640787245</v>
      </c>
      <c r="G47">
        <f t="shared" si="1"/>
        <v>4.866144991338335E-16</v>
      </c>
      <c r="H47">
        <f t="shared" si="2"/>
        <v>7.0042045148345996E-24</v>
      </c>
      <c r="I47">
        <f t="shared" si="3"/>
        <v>1.2595128640787245</v>
      </c>
      <c r="J47" t="str">
        <f t="shared" si="4"/>
        <v>Iris-setosa</v>
      </c>
      <c r="K47">
        <f t="shared" si="5"/>
        <v>1</v>
      </c>
    </row>
    <row r="48" spans="1:11" x14ac:dyDescent="0.3">
      <c r="A48">
        <v>5.0999999999999996</v>
      </c>
      <c r="B48">
        <v>3.8</v>
      </c>
      <c r="C48">
        <v>1.6</v>
      </c>
      <c r="D48">
        <v>0.2</v>
      </c>
      <c r="E48" t="s">
        <v>5</v>
      </c>
      <c r="F48">
        <f t="shared" si="0"/>
        <v>1.320714125796278</v>
      </c>
      <c r="G48">
        <f t="shared" si="1"/>
        <v>6.8735614273689922E-18</v>
      </c>
      <c r="H48">
        <f t="shared" si="2"/>
        <v>1.2107605482448877E-24</v>
      </c>
      <c r="I48">
        <f t="shared" si="3"/>
        <v>1.320714125796278</v>
      </c>
      <c r="J48" t="str">
        <f t="shared" si="4"/>
        <v>Iris-setosa</v>
      </c>
      <c r="K48">
        <f t="shared" si="5"/>
        <v>1</v>
      </c>
    </row>
    <row r="49" spans="1:11" x14ac:dyDescent="0.3">
      <c r="A49">
        <v>4.5999999999999996</v>
      </c>
      <c r="B49">
        <v>3.2</v>
      </c>
      <c r="C49">
        <v>1.4</v>
      </c>
      <c r="D49">
        <v>0.2</v>
      </c>
      <c r="E49" t="s">
        <v>5</v>
      </c>
      <c r="F49">
        <f t="shared" si="0"/>
        <v>1.2566449852234398</v>
      </c>
      <c r="G49">
        <f t="shared" si="1"/>
        <v>6.283402520699682E-18</v>
      </c>
      <c r="H49">
        <f t="shared" si="2"/>
        <v>2.0513918918682065E-25</v>
      </c>
      <c r="I49">
        <f t="shared" si="3"/>
        <v>1.2566449852234398</v>
      </c>
      <c r="J49" t="str">
        <f t="shared" si="4"/>
        <v>Iris-setosa</v>
      </c>
      <c r="K49">
        <f t="shared" si="5"/>
        <v>1</v>
      </c>
    </row>
    <row r="50" spans="1:11" x14ac:dyDescent="0.3">
      <c r="A50">
        <v>5.3</v>
      </c>
      <c r="B50">
        <v>3.7</v>
      </c>
      <c r="C50">
        <v>1.5</v>
      </c>
      <c r="D50">
        <v>0.2</v>
      </c>
      <c r="E50" t="s">
        <v>5</v>
      </c>
      <c r="F50">
        <f t="shared" si="0"/>
        <v>1.6164539818250323</v>
      </c>
      <c r="G50">
        <f t="shared" si="1"/>
        <v>9.4700675825094302E-18</v>
      </c>
      <c r="H50">
        <f t="shared" si="2"/>
        <v>1.363441877570038E-24</v>
      </c>
      <c r="I50">
        <f t="shared" si="3"/>
        <v>1.6164539818250323</v>
      </c>
      <c r="J50" t="str">
        <f t="shared" si="4"/>
        <v>Iris-setosa</v>
      </c>
      <c r="K50">
        <f t="shared" si="5"/>
        <v>1</v>
      </c>
    </row>
    <row r="51" spans="1:11" x14ac:dyDescent="0.3">
      <c r="A51">
        <v>5</v>
      </c>
      <c r="B51">
        <v>3.3</v>
      </c>
      <c r="C51">
        <v>1.4</v>
      </c>
      <c r="D51">
        <v>0.2</v>
      </c>
      <c r="E51" t="s">
        <v>5</v>
      </c>
      <c r="F51">
        <f t="shared" si="0"/>
        <v>2.7383313108296563</v>
      </c>
      <c r="G51">
        <f t="shared" si="1"/>
        <v>2.1241294840097724E-17</v>
      </c>
      <c r="H51">
        <f t="shared" si="2"/>
        <v>9.2252128600051626E-25</v>
      </c>
      <c r="I51">
        <f t="shared" si="3"/>
        <v>2.7383313108296563</v>
      </c>
      <c r="J51" t="str">
        <f t="shared" si="4"/>
        <v>Iris-setosa</v>
      </c>
      <c r="K51">
        <f t="shared" si="5"/>
        <v>1</v>
      </c>
    </row>
    <row r="52" spans="1:11" x14ac:dyDescent="0.3">
      <c r="A52">
        <v>7</v>
      </c>
      <c r="B52">
        <v>3.2</v>
      </c>
      <c r="C52">
        <v>4.7</v>
      </c>
      <c r="D52">
        <v>1.4</v>
      </c>
      <c r="E52" t="s">
        <v>6</v>
      </c>
      <c r="F52">
        <f t="shared" si="0"/>
        <v>5.35138393291599E-108</v>
      </c>
      <c r="G52">
        <f t="shared" si="1"/>
        <v>1.5608372459722675E-2</v>
      </c>
      <c r="H52">
        <f t="shared" si="2"/>
        <v>3.8567083225693232E-3</v>
      </c>
      <c r="I52">
        <f t="shared" si="3"/>
        <v>1.5608372459722675E-2</v>
      </c>
      <c r="J52" t="str">
        <f t="shared" si="4"/>
        <v>Iris-versicolor</v>
      </c>
      <c r="K52">
        <f t="shared" si="5"/>
        <v>1</v>
      </c>
    </row>
    <row r="53" spans="1:11" x14ac:dyDescent="0.3">
      <c r="A53">
        <v>6.4</v>
      </c>
      <c r="B53">
        <v>3.2</v>
      </c>
      <c r="C53">
        <v>4.5</v>
      </c>
      <c r="D53">
        <v>1.5</v>
      </c>
      <c r="E53" t="s">
        <v>6</v>
      </c>
      <c r="F53">
        <f t="shared" si="0"/>
        <v>5.9147694585492813E-100</v>
      </c>
      <c r="G53">
        <f t="shared" si="1"/>
        <v>8.6416587851140425E-2</v>
      </c>
      <c r="H53">
        <f t="shared" si="2"/>
        <v>5.2304508746435678E-3</v>
      </c>
      <c r="I53">
        <f t="shared" si="3"/>
        <v>8.6416587851140425E-2</v>
      </c>
      <c r="J53" t="str">
        <f t="shared" si="4"/>
        <v>Iris-versicolor</v>
      </c>
      <c r="K53">
        <f t="shared" si="5"/>
        <v>1</v>
      </c>
    </row>
    <row r="54" spans="1:11" x14ac:dyDescent="0.3">
      <c r="A54">
        <v>6.9</v>
      </c>
      <c r="B54">
        <v>3.1</v>
      </c>
      <c r="C54">
        <v>4.9000000000000004</v>
      </c>
      <c r="D54">
        <v>1.5</v>
      </c>
      <c r="E54" t="s">
        <v>6</v>
      </c>
      <c r="F54">
        <f t="shared" si="0"/>
        <v>1.4004799813570795E-121</v>
      </c>
      <c r="G54">
        <f t="shared" si="1"/>
        <v>1.5001017242786791E-2</v>
      </c>
      <c r="H54">
        <f t="shared" si="2"/>
        <v>1.7565616230682927E-2</v>
      </c>
      <c r="I54">
        <f t="shared" si="3"/>
        <v>1.7565616230682927E-2</v>
      </c>
      <c r="J54" t="str">
        <f t="shared" si="4"/>
        <v>Iris-virginica</v>
      </c>
      <c r="K54">
        <f t="shared" si="5"/>
        <v>0</v>
      </c>
    </row>
    <row r="55" spans="1:11" x14ac:dyDescent="0.3">
      <c r="A55">
        <v>5.5</v>
      </c>
      <c r="B55">
        <v>2.2999999999999998</v>
      </c>
      <c r="C55">
        <v>4</v>
      </c>
      <c r="D55">
        <v>1.3</v>
      </c>
      <c r="E55" t="s">
        <v>6</v>
      </c>
      <c r="F55">
        <f t="shared" si="0"/>
        <v>5.9382834727257213E-70</v>
      </c>
      <c r="G55">
        <f t="shared" si="1"/>
        <v>0.10771483624216431</v>
      </c>
      <c r="H55">
        <f t="shared" si="2"/>
        <v>4.082508336160362E-6</v>
      </c>
      <c r="I55">
        <f t="shared" si="3"/>
        <v>0.10771483624216431</v>
      </c>
      <c r="J55" t="str">
        <f t="shared" si="4"/>
        <v>Iris-versicolor</v>
      </c>
      <c r="K55">
        <f t="shared" si="5"/>
        <v>1</v>
      </c>
    </row>
    <row r="56" spans="1:11" x14ac:dyDescent="0.3">
      <c r="A56">
        <v>6.5</v>
      </c>
      <c r="B56">
        <v>2.8</v>
      </c>
      <c r="C56">
        <v>4.5999999999999996</v>
      </c>
      <c r="D56">
        <v>1.5</v>
      </c>
      <c r="E56" t="s">
        <v>6</v>
      </c>
      <c r="F56">
        <f t="shared" si="0"/>
        <v>2.0670276481099625E-105</v>
      </c>
      <c r="G56">
        <f t="shared" si="1"/>
        <v>0.1590518101667503</v>
      </c>
      <c r="H56">
        <f t="shared" si="2"/>
        <v>8.3111022648610453E-3</v>
      </c>
      <c r="I56">
        <f t="shared" si="3"/>
        <v>0.1590518101667503</v>
      </c>
      <c r="J56" t="str">
        <f t="shared" si="4"/>
        <v>Iris-versicolor</v>
      </c>
      <c r="K56">
        <f t="shared" si="5"/>
        <v>1</v>
      </c>
    </row>
    <row r="57" spans="1:11" x14ac:dyDescent="0.3">
      <c r="A57">
        <v>5.7</v>
      </c>
      <c r="B57">
        <v>2.8</v>
      </c>
      <c r="C57">
        <v>4.5</v>
      </c>
      <c r="D57">
        <v>1.3</v>
      </c>
      <c r="E57" t="s">
        <v>6</v>
      </c>
      <c r="F57">
        <f t="shared" si="0"/>
        <v>3.6478382757398299E-89</v>
      </c>
      <c r="G57">
        <f t="shared" si="1"/>
        <v>0.43330868217003865</v>
      </c>
      <c r="H57">
        <f t="shared" si="2"/>
        <v>4.3315792196833001E-4</v>
      </c>
      <c r="I57">
        <f t="shared" si="3"/>
        <v>0.43330868217003865</v>
      </c>
      <c r="J57" t="str">
        <f t="shared" si="4"/>
        <v>Iris-versicolor</v>
      </c>
      <c r="K57">
        <f t="shared" si="5"/>
        <v>1</v>
      </c>
    </row>
    <row r="58" spans="1:11" x14ac:dyDescent="0.3">
      <c r="A58">
        <v>6.3</v>
      </c>
      <c r="B58">
        <v>3.3</v>
      </c>
      <c r="C58">
        <v>4.7</v>
      </c>
      <c r="D58">
        <v>1.6</v>
      </c>
      <c r="E58" t="s">
        <v>6</v>
      </c>
      <c r="F58">
        <f t="shared" si="0"/>
        <v>2.0399670890196521E-113</v>
      </c>
      <c r="G58">
        <f t="shared" si="1"/>
        <v>2.5696538342258712E-2</v>
      </c>
      <c r="H58">
        <f t="shared" si="2"/>
        <v>1.3281817685869023E-2</v>
      </c>
      <c r="I58">
        <f t="shared" si="3"/>
        <v>2.5696538342258712E-2</v>
      </c>
      <c r="J58" t="str">
        <f t="shared" si="4"/>
        <v>Iris-versicolor</v>
      </c>
      <c r="K58">
        <f t="shared" si="5"/>
        <v>1</v>
      </c>
    </row>
    <row r="59" spans="1:11" x14ac:dyDescent="0.3">
      <c r="A59">
        <v>4.9000000000000004</v>
      </c>
      <c r="B59">
        <v>2.4</v>
      </c>
      <c r="C59">
        <v>3.3</v>
      </c>
      <c r="D59">
        <v>1</v>
      </c>
      <c r="E59" t="s">
        <v>6</v>
      </c>
      <c r="F59">
        <f t="shared" si="0"/>
        <v>6.9784326454740277E-37</v>
      </c>
      <c r="G59">
        <f t="shared" si="1"/>
        <v>1.1789866335348658E-3</v>
      </c>
      <c r="H59">
        <f t="shared" si="2"/>
        <v>3.6778699275981259E-10</v>
      </c>
      <c r="I59">
        <f t="shared" si="3"/>
        <v>1.1789866335348658E-3</v>
      </c>
      <c r="J59" t="str">
        <f t="shared" si="4"/>
        <v>Iris-versicolor</v>
      </c>
      <c r="K59">
        <f t="shared" si="5"/>
        <v>1</v>
      </c>
    </row>
    <row r="60" spans="1:11" x14ac:dyDescent="0.3">
      <c r="A60">
        <v>6.6</v>
      </c>
      <c r="B60">
        <v>2.9</v>
      </c>
      <c r="C60">
        <v>4.5999999999999996</v>
      </c>
      <c r="D60">
        <v>1.3</v>
      </c>
      <c r="E60" t="s">
        <v>6</v>
      </c>
      <c r="F60">
        <f t="shared" si="0"/>
        <v>4.8021376007912868E-97</v>
      </c>
      <c r="G60">
        <f t="shared" si="1"/>
        <v>0.17003284187146225</v>
      </c>
      <c r="H60">
        <f t="shared" si="2"/>
        <v>1.7976093210808764E-3</v>
      </c>
      <c r="I60">
        <f t="shared" si="3"/>
        <v>0.17003284187146225</v>
      </c>
      <c r="J60" t="str">
        <f t="shared" si="4"/>
        <v>Iris-versicolor</v>
      </c>
      <c r="K60">
        <f t="shared" si="5"/>
        <v>1</v>
      </c>
    </row>
    <row r="61" spans="1:11" x14ac:dyDescent="0.3">
      <c r="A61">
        <v>5.2</v>
      </c>
      <c r="B61">
        <v>2.7</v>
      </c>
      <c r="C61">
        <v>3.9</v>
      </c>
      <c r="D61">
        <v>1.4</v>
      </c>
      <c r="E61" t="s">
        <v>6</v>
      </c>
      <c r="F61">
        <f t="shared" si="0"/>
        <v>4.3651339247027318E-69</v>
      </c>
      <c r="G61">
        <f t="shared" si="1"/>
        <v>0.13627654314648133</v>
      </c>
      <c r="H61">
        <f t="shared" si="2"/>
        <v>1.4605473832587878E-5</v>
      </c>
      <c r="I61">
        <f t="shared" si="3"/>
        <v>0.13627654314648133</v>
      </c>
      <c r="J61" t="str">
        <f t="shared" si="4"/>
        <v>Iris-versicolor</v>
      </c>
      <c r="K61">
        <f t="shared" si="5"/>
        <v>1</v>
      </c>
    </row>
    <row r="62" spans="1:11" x14ac:dyDescent="0.3">
      <c r="A62">
        <v>5</v>
      </c>
      <c r="B62">
        <v>2</v>
      </c>
      <c r="C62">
        <v>3.5</v>
      </c>
      <c r="D62">
        <v>1</v>
      </c>
      <c r="E62" t="s">
        <v>6</v>
      </c>
      <c r="F62">
        <f t="shared" si="0"/>
        <v>6.6125929089946726E-44</v>
      </c>
      <c r="G62">
        <f t="shared" si="1"/>
        <v>3.6722429507022886E-4</v>
      </c>
      <c r="H62">
        <f t="shared" si="2"/>
        <v>1.1545223707086176E-10</v>
      </c>
      <c r="I62">
        <f t="shared" si="3"/>
        <v>3.6722429507022886E-4</v>
      </c>
      <c r="J62" t="str">
        <f t="shared" si="4"/>
        <v>Iris-versicolor</v>
      </c>
      <c r="K62">
        <f t="shared" si="5"/>
        <v>1</v>
      </c>
    </row>
    <row r="63" spans="1:11" x14ac:dyDescent="0.3">
      <c r="A63">
        <v>5.9</v>
      </c>
      <c r="B63">
        <v>3</v>
      </c>
      <c r="C63">
        <v>4.2</v>
      </c>
      <c r="D63">
        <v>1.5</v>
      </c>
      <c r="E63" t="s">
        <v>6</v>
      </c>
      <c r="F63">
        <f t="shared" si="0"/>
        <v>1.1764808212360876E-85</v>
      </c>
      <c r="G63">
        <f t="shared" si="1"/>
        <v>0.28523537249906705</v>
      </c>
      <c r="H63">
        <f t="shared" si="2"/>
        <v>1.1868240169642353E-3</v>
      </c>
      <c r="I63">
        <f t="shared" si="3"/>
        <v>0.28523537249906705</v>
      </c>
      <c r="J63" t="str">
        <f t="shared" si="4"/>
        <v>Iris-versicolor</v>
      </c>
      <c r="K63">
        <f t="shared" si="5"/>
        <v>1</v>
      </c>
    </row>
    <row r="64" spans="1:11" x14ac:dyDescent="0.3">
      <c r="A64">
        <v>6</v>
      </c>
      <c r="B64">
        <v>2.2000000000000002</v>
      </c>
      <c r="C64">
        <v>4</v>
      </c>
      <c r="D64">
        <v>1</v>
      </c>
      <c r="E64" t="s">
        <v>6</v>
      </c>
      <c r="F64">
        <f t="shared" si="0"/>
        <v>2.4769235215042376E-61</v>
      </c>
      <c r="G64">
        <f t="shared" si="1"/>
        <v>2.334279864333547E-2</v>
      </c>
      <c r="H64">
        <f t="shared" si="2"/>
        <v>1.7603577620502606E-7</v>
      </c>
      <c r="I64">
        <f t="shared" si="3"/>
        <v>2.334279864333547E-2</v>
      </c>
      <c r="J64" t="str">
        <f t="shared" si="4"/>
        <v>Iris-versicolor</v>
      </c>
      <c r="K64">
        <f t="shared" si="5"/>
        <v>1</v>
      </c>
    </row>
    <row r="65" spans="1:11" x14ac:dyDescent="0.3">
      <c r="A65">
        <v>6.1</v>
      </c>
      <c r="B65">
        <v>2.9</v>
      </c>
      <c r="C65">
        <v>4.7</v>
      </c>
      <c r="D65">
        <v>1.4</v>
      </c>
      <c r="E65" t="s">
        <v>6</v>
      </c>
      <c r="F65">
        <f t="shared" si="0"/>
        <v>1.8003616321768154E-103</v>
      </c>
      <c r="G65">
        <f t="shared" si="1"/>
        <v>0.29146926521458744</v>
      </c>
      <c r="H65">
        <f t="shared" si="2"/>
        <v>4.4125578579583295E-3</v>
      </c>
      <c r="I65">
        <f t="shared" si="3"/>
        <v>0.29146926521458744</v>
      </c>
      <c r="J65" t="str">
        <f t="shared" si="4"/>
        <v>Iris-versicolor</v>
      </c>
      <c r="K65">
        <f t="shared" si="5"/>
        <v>1</v>
      </c>
    </row>
    <row r="66" spans="1:11" x14ac:dyDescent="0.3">
      <c r="A66">
        <v>5.6</v>
      </c>
      <c r="B66">
        <v>2.9</v>
      </c>
      <c r="C66">
        <v>3.6</v>
      </c>
      <c r="D66">
        <v>1.3</v>
      </c>
      <c r="E66" t="s">
        <v>6</v>
      </c>
      <c r="F66">
        <f t="shared" si="0"/>
        <v>3.3950889557487137E-55</v>
      </c>
      <c r="G66">
        <f t="shared" si="1"/>
        <v>0.15246692240547816</v>
      </c>
      <c r="H66">
        <f t="shared" si="2"/>
        <v>4.5732188376719294E-6</v>
      </c>
      <c r="I66">
        <f t="shared" si="3"/>
        <v>0.15246692240547816</v>
      </c>
      <c r="J66" t="str">
        <f t="shared" si="4"/>
        <v>Iris-versicolor</v>
      </c>
      <c r="K66">
        <f t="shared" si="5"/>
        <v>1</v>
      </c>
    </row>
    <row r="67" spans="1:11" x14ac:dyDescent="0.3">
      <c r="A67">
        <v>6.7</v>
      </c>
      <c r="B67">
        <v>3.1</v>
      </c>
      <c r="C67">
        <v>4.4000000000000004</v>
      </c>
      <c r="D67">
        <v>1.4</v>
      </c>
      <c r="E67" t="s">
        <v>6</v>
      </c>
      <c r="F67">
        <f t="shared" ref="F67:F130" si="6">$N$2*_xlfn.NORM.DIST(A67,$M$9,$M$10,FALSE)*_xlfn.NORM.DIST(B67,$N$9,$N$10,FALSE)*_xlfn.NORM.DIST(C67,$O$9,$O$10,FALSE)*_xlfn.NORM.DIST(D67,$P$9,$P$10,FALSE)</f>
        <v>8.6499235695775388E-93</v>
      </c>
      <c r="G67">
        <f t="shared" ref="G67:G130" si="7">$N$3*_xlfn.NORM.DIST(A67,$M$15,$M$16,FALSE)*_xlfn.NORM.DIST(B67,$N$15,$N$16,FALSE)*_xlfn.NORM.DIST(C67,$O$15,$O$16,FALSE)*_xlfn.NORM.DIST(D67,$P$15,$P$16,FALSE)</f>
        <v>9.5283812971689266E-2</v>
      </c>
      <c r="H67">
        <f t="shared" ref="H67:H130" si="8">$N$4*_xlfn.NORM.DIST(A67,$M$21,$M$22,FALSE)*_xlfn.NORM.DIST(B67,$N$21,$N$22,FALSE)*_xlfn.NORM.DIST(C67,$O$21,$O$22,FALSE)*_xlfn.NORM.DIST(D67,$P$21,$P$22,FALSE)</f>
        <v>2.0678718147657009E-3</v>
      </c>
      <c r="I67">
        <f t="shared" ref="I67:I130" si="9">MAX(F67:H67)</f>
        <v>9.5283812971689266E-2</v>
      </c>
      <c r="J67" t="str">
        <f t="shared" ref="J67:J130" si="10">IF(I67=F67,$E$2,IF(I67=G67,$E$52,$E$102))</f>
        <v>Iris-versicolor</v>
      </c>
      <c r="K67">
        <f t="shared" ref="K67:K130" si="11">IF(J67=E67,1,0)</f>
        <v>1</v>
      </c>
    </row>
    <row r="68" spans="1:11" x14ac:dyDescent="0.3">
      <c r="A68">
        <v>5.6</v>
      </c>
      <c r="B68">
        <v>3</v>
      </c>
      <c r="C68">
        <v>4.5</v>
      </c>
      <c r="D68">
        <v>1.5</v>
      </c>
      <c r="E68" t="s">
        <v>6</v>
      </c>
      <c r="F68">
        <f t="shared" si="6"/>
        <v>2.2971556895590229E-97</v>
      </c>
      <c r="G68">
        <f t="shared" si="7"/>
        <v>0.20471266290331636</v>
      </c>
      <c r="H68">
        <f t="shared" si="8"/>
        <v>2.0822031325861664E-3</v>
      </c>
      <c r="I68">
        <f t="shared" si="9"/>
        <v>0.20471266290331636</v>
      </c>
      <c r="J68" t="str">
        <f t="shared" si="10"/>
        <v>Iris-versicolor</v>
      </c>
      <c r="K68">
        <f t="shared" si="11"/>
        <v>1</v>
      </c>
    </row>
    <row r="69" spans="1:11" x14ac:dyDescent="0.3">
      <c r="A69">
        <v>5.8</v>
      </c>
      <c r="B69">
        <v>2.7</v>
      </c>
      <c r="C69">
        <v>4.0999999999999996</v>
      </c>
      <c r="D69">
        <v>1</v>
      </c>
      <c r="E69" t="s">
        <v>6</v>
      </c>
      <c r="F69">
        <f t="shared" si="6"/>
        <v>5.4489363403174582E-63</v>
      </c>
      <c r="G69">
        <f t="shared" si="7"/>
        <v>0.12687938902355297</v>
      </c>
      <c r="H69">
        <f t="shared" si="8"/>
        <v>2.5469183809309526E-6</v>
      </c>
      <c r="I69">
        <f t="shared" si="9"/>
        <v>0.12687938902355297</v>
      </c>
      <c r="J69" t="str">
        <f t="shared" si="10"/>
        <v>Iris-versicolor</v>
      </c>
      <c r="K69">
        <f t="shared" si="11"/>
        <v>1</v>
      </c>
    </row>
    <row r="70" spans="1:11" x14ac:dyDescent="0.3">
      <c r="A70">
        <v>6.2</v>
      </c>
      <c r="B70">
        <v>2.2000000000000002</v>
      </c>
      <c r="C70">
        <v>4.5</v>
      </c>
      <c r="D70">
        <v>1.5</v>
      </c>
      <c r="E70" t="s">
        <v>6</v>
      </c>
      <c r="F70">
        <f t="shared" si="6"/>
        <v>3.3782350844839024E-101</v>
      </c>
      <c r="G70">
        <f t="shared" si="7"/>
        <v>5.5786873469655864E-2</v>
      </c>
      <c r="H70">
        <f t="shared" si="8"/>
        <v>3.2547557155186506E-4</v>
      </c>
      <c r="I70">
        <f t="shared" si="9"/>
        <v>5.5786873469655864E-2</v>
      </c>
      <c r="J70" t="str">
        <f t="shared" si="10"/>
        <v>Iris-versicolor</v>
      </c>
      <c r="K70">
        <f t="shared" si="11"/>
        <v>1</v>
      </c>
    </row>
    <row r="71" spans="1:11" x14ac:dyDescent="0.3">
      <c r="A71">
        <v>5.6</v>
      </c>
      <c r="B71">
        <v>2.5</v>
      </c>
      <c r="C71">
        <v>3.9</v>
      </c>
      <c r="D71">
        <v>1.1000000000000001</v>
      </c>
      <c r="E71" t="s">
        <v>6</v>
      </c>
      <c r="F71">
        <f t="shared" si="6"/>
        <v>1.0073964249772232E-58</v>
      </c>
      <c r="G71">
        <f t="shared" si="7"/>
        <v>0.12043118511201915</v>
      </c>
      <c r="H71">
        <f t="shared" si="8"/>
        <v>1.0525727967757071E-6</v>
      </c>
      <c r="I71">
        <f t="shared" si="9"/>
        <v>0.12043118511201915</v>
      </c>
      <c r="J71" t="str">
        <f t="shared" si="10"/>
        <v>Iris-versicolor</v>
      </c>
      <c r="K71">
        <f t="shared" si="11"/>
        <v>1</v>
      </c>
    </row>
    <row r="72" spans="1:11" x14ac:dyDescent="0.3">
      <c r="A72">
        <v>5.9</v>
      </c>
      <c r="B72">
        <v>3.2</v>
      </c>
      <c r="C72">
        <v>4.8</v>
      </c>
      <c r="D72">
        <v>1.8</v>
      </c>
      <c r="E72" t="s">
        <v>6</v>
      </c>
      <c r="F72">
        <f t="shared" si="6"/>
        <v>1.1111728139607673E-127</v>
      </c>
      <c r="G72">
        <f t="shared" si="7"/>
        <v>6.3305406350301022E-3</v>
      </c>
      <c r="H72">
        <f t="shared" si="8"/>
        <v>3.300521128253997E-2</v>
      </c>
      <c r="I72">
        <f t="shared" si="9"/>
        <v>3.300521128253997E-2</v>
      </c>
      <c r="J72" t="str">
        <f t="shared" si="10"/>
        <v>Iris-virginica</v>
      </c>
      <c r="K72">
        <f t="shared" si="11"/>
        <v>0</v>
      </c>
    </row>
    <row r="73" spans="1:11" x14ac:dyDescent="0.3">
      <c r="A73">
        <v>6.1</v>
      </c>
      <c r="B73">
        <v>2.8</v>
      </c>
      <c r="C73">
        <v>4</v>
      </c>
      <c r="D73">
        <v>1.3</v>
      </c>
      <c r="E73" t="s">
        <v>6</v>
      </c>
      <c r="F73">
        <f t="shared" si="6"/>
        <v>2.5512521466055148E-70</v>
      </c>
      <c r="G73">
        <f t="shared" si="7"/>
        <v>0.44713230806134691</v>
      </c>
      <c r="H73">
        <f t="shared" si="8"/>
        <v>1.0092703387614542E-4</v>
      </c>
      <c r="I73">
        <f t="shared" si="9"/>
        <v>0.44713230806134691</v>
      </c>
      <c r="J73" t="str">
        <f t="shared" si="10"/>
        <v>Iris-versicolor</v>
      </c>
      <c r="K73">
        <f t="shared" si="11"/>
        <v>1</v>
      </c>
    </row>
    <row r="74" spans="1:11" x14ac:dyDescent="0.3">
      <c r="A74">
        <v>6.3</v>
      </c>
      <c r="B74">
        <v>2.5</v>
      </c>
      <c r="C74">
        <v>4.9000000000000004</v>
      </c>
      <c r="D74">
        <v>1.5</v>
      </c>
      <c r="E74" t="s">
        <v>6</v>
      </c>
      <c r="F74">
        <f t="shared" si="6"/>
        <v>2.3989097609591172E-119</v>
      </c>
      <c r="G74">
        <f t="shared" si="7"/>
        <v>8.0336828743662922E-2</v>
      </c>
      <c r="H74">
        <f t="shared" si="8"/>
        <v>6.5531331607890783E-3</v>
      </c>
      <c r="I74">
        <f t="shared" si="9"/>
        <v>8.0336828743662922E-2</v>
      </c>
      <c r="J74" t="str">
        <f t="shared" si="10"/>
        <v>Iris-versicolor</v>
      </c>
      <c r="K74">
        <f t="shared" si="11"/>
        <v>1</v>
      </c>
    </row>
    <row r="75" spans="1:11" x14ac:dyDescent="0.3">
      <c r="A75">
        <v>6.1</v>
      </c>
      <c r="B75">
        <v>2.8</v>
      </c>
      <c r="C75">
        <v>4.7</v>
      </c>
      <c r="D75">
        <v>1.2</v>
      </c>
      <c r="E75" t="s">
        <v>6</v>
      </c>
      <c r="F75">
        <f t="shared" si="6"/>
        <v>1.1630748664159015E-95</v>
      </c>
      <c r="G75">
        <f t="shared" si="7"/>
        <v>0.27677546471662018</v>
      </c>
      <c r="H75">
        <f t="shared" si="8"/>
        <v>5.7139908270174963E-4</v>
      </c>
      <c r="I75">
        <f t="shared" si="9"/>
        <v>0.27677546471662018</v>
      </c>
      <c r="J75" t="str">
        <f t="shared" si="10"/>
        <v>Iris-versicolor</v>
      </c>
      <c r="K75">
        <f t="shared" si="11"/>
        <v>1</v>
      </c>
    </row>
    <row r="76" spans="1:11" x14ac:dyDescent="0.3">
      <c r="A76">
        <v>6.4</v>
      </c>
      <c r="B76">
        <v>2.9</v>
      </c>
      <c r="C76">
        <v>4.3</v>
      </c>
      <c r="D76">
        <v>1.3</v>
      </c>
      <c r="E76" t="s">
        <v>6</v>
      </c>
      <c r="F76">
        <f t="shared" si="6"/>
        <v>4.4480406392620027E-83</v>
      </c>
      <c r="G76">
        <f t="shared" si="7"/>
        <v>0.33612940604832842</v>
      </c>
      <c r="H76">
        <f t="shared" si="8"/>
        <v>5.81309902765852E-4</v>
      </c>
      <c r="I76">
        <f t="shared" si="9"/>
        <v>0.33612940604832842</v>
      </c>
      <c r="J76" t="str">
        <f t="shared" si="10"/>
        <v>Iris-versicolor</v>
      </c>
      <c r="K76">
        <f t="shared" si="11"/>
        <v>1</v>
      </c>
    </row>
    <row r="77" spans="1:11" x14ac:dyDescent="0.3">
      <c r="A77">
        <v>6.6</v>
      </c>
      <c r="B77">
        <v>3</v>
      </c>
      <c r="C77">
        <v>4.4000000000000004</v>
      </c>
      <c r="D77">
        <v>1.4</v>
      </c>
      <c r="E77" t="s">
        <v>6</v>
      </c>
      <c r="F77">
        <f t="shared" si="6"/>
        <v>2.5209503116837685E-92</v>
      </c>
      <c r="G77">
        <f t="shared" si="7"/>
        <v>0.16553744865921194</v>
      </c>
      <c r="H77">
        <f t="shared" si="8"/>
        <v>2.2590119931944611E-3</v>
      </c>
      <c r="I77">
        <f t="shared" si="9"/>
        <v>0.16553744865921194</v>
      </c>
      <c r="J77" t="str">
        <f t="shared" si="10"/>
        <v>Iris-versicolor</v>
      </c>
      <c r="K77">
        <f t="shared" si="11"/>
        <v>1</v>
      </c>
    </row>
    <row r="78" spans="1:11" x14ac:dyDescent="0.3">
      <c r="A78">
        <v>6.8</v>
      </c>
      <c r="B78">
        <v>2.8</v>
      </c>
      <c r="C78">
        <v>4.8</v>
      </c>
      <c r="D78">
        <v>1.4</v>
      </c>
      <c r="E78" t="s">
        <v>6</v>
      </c>
      <c r="F78">
        <f t="shared" si="6"/>
        <v>6.4883763333528085E-112</v>
      </c>
      <c r="G78">
        <f t="shared" si="7"/>
        <v>6.5617283518088931E-2</v>
      </c>
      <c r="H78">
        <f t="shared" si="8"/>
        <v>6.4717161269965892E-3</v>
      </c>
      <c r="I78">
        <f t="shared" si="9"/>
        <v>6.5617283518088931E-2</v>
      </c>
      <c r="J78" t="str">
        <f t="shared" si="10"/>
        <v>Iris-versicolor</v>
      </c>
      <c r="K78">
        <f t="shared" si="11"/>
        <v>1</v>
      </c>
    </row>
    <row r="79" spans="1:11" x14ac:dyDescent="0.3">
      <c r="A79">
        <v>6.7</v>
      </c>
      <c r="B79">
        <v>3</v>
      </c>
      <c r="C79">
        <v>5</v>
      </c>
      <c r="D79">
        <v>1.7</v>
      </c>
      <c r="E79" t="s">
        <v>6</v>
      </c>
      <c r="F79">
        <f t="shared" si="6"/>
        <v>1.0336194376317841E-135</v>
      </c>
      <c r="G79">
        <f t="shared" si="7"/>
        <v>6.8705729505284642E-3</v>
      </c>
      <c r="H79">
        <f t="shared" si="8"/>
        <v>7.9123304461596267E-2</v>
      </c>
      <c r="I79">
        <f t="shared" si="9"/>
        <v>7.9123304461596267E-2</v>
      </c>
      <c r="J79" t="str">
        <f t="shared" si="10"/>
        <v>Iris-virginica</v>
      </c>
      <c r="K79">
        <f t="shared" si="11"/>
        <v>0</v>
      </c>
    </row>
    <row r="80" spans="1:11" x14ac:dyDescent="0.3">
      <c r="A80">
        <v>6</v>
      </c>
      <c r="B80">
        <v>2.9</v>
      </c>
      <c r="C80">
        <v>4.5</v>
      </c>
      <c r="D80">
        <v>1.5</v>
      </c>
      <c r="E80" t="s">
        <v>6</v>
      </c>
      <c r="F80">
        <f t="shared" si="6"/>
        <v>1.2914164284836232E-98</v>
      </c>
      <c r="G80">
        <f t="shared" si="7"/>
        <v>0.3014440589955551</v>
      </c>
      <c r="H80">
        <f t="shared" si="8"/>
        <v>4.4365940462641846E-3</v>
      </c>
      <c r="I80">
        <f t="shared" si="9"/>
        <v>0.3014440589955551</v>
      </c>
      <c r="J80" t="str">
        <f t="shared" si="10"/>
        <v>Iris-versicolor</v>
      </c>
      <c r="K80">
        <f t="shared" si="11"/>
        <v>1</v>
      </c>
    </row>
    <row r="81" spans="1:11" x14ac:dyDescent="0.3">
      <c r="A81">
        <v>5.7</v>
      </c>
      <c r="B81">
        <v>2.6</v>
      </c>
      <c r="C81">
        <v>3.5</v>
      </c>
      <c r="D81">
        <v>1</v>
      </c>
      <c r="E81" t="s">
        <v>6</v>
      </c>
      <c r="F81">
        <f t="shared" si="6"/>
        <v>9.668090260084981E-43</v>
      </c>
      <c r="G81">
        <f t="shared" si="7"/>
        <v>3.0013666142199323E-2</v>
      </c>
      <c r="H81">
        <f t="shared" si="8"/>
        <v>4.8069179285826483E-8</v>
      </c>
      <c r="I81">
        <f t="shared" si="9"/>
        <v>3.0013666142199323E-2</v>
      </c>
      <c r="J81" t="str">
        <f t="shared" si="10"/>
        <v>Iris-versicolor</v>
      </c>
      <c r="K81">
        <f t="shared" si="11"/>
        <v>1</v>
      </c>
    </row>
    <row r="82" spans="1:11" x14ac:dyDescent="0.3">
      <c r="A82">
        <v>5.5</v>
      </c>
      <c r="B82">
        <v>2.4</v>
      </c>
      <c r="C82">
        <v>3.8</v>
      </c>
      <c r="D82">
        <v>1.1000000000000001</v>
      </c>
      <c r="E82" t="s">
        <v>6</v>
      </c>
      <c r="F82">
        <f t="shared" si="6"/>
        <v>2.2166174604551151E-55</v>
      </c>
      <c r="G82">
        <f t="shared" si="7"/>
        <v>6.252413267564072E-2</v>
      </c>
      <c r="H82">
        <f t="shared" si="8"/>
        <v>2.8136857333056821E-7</v>
      </c>
      <c r="I82">
        <f t="shared" si="9"/>
        <v>6.252413267564072E-2</v>
      </c>
      <c r="J82" t="str">
        <f t="shared" si="10"/>
        <v>Iris-versicolor</v>
      </c>
      <c r="K82">
        <f t="shared" si="11"/>
        <v>1</v>
      </c>
    </row>
    <row r="83" spans="1:11" x14ac:dyDescent="0.3">
      <c r="A83">
        <v>5.5</v>
      </c>
      <c r="B83">
        <v>2.4</v>
      </c>
      <c r="C83">
        <v>3.7</v>
      </c>
      <c r="D83">
        <v>1</v>
      </c>
      <c r="E83" t="s">
        <v>6</v>
      </c>
      <c r="F83">
        <f t="shared" si="6"/>
        <v>4.8843719002561931E-49</v>
      </c>
      <c r="G83">
        <f t="shared" si="7"/>
        <v>2.4503588640133144E-2</v>
      </c>
      <c r="H83">
        <f t="shared" si="8"/>
        <v>4.2699053819394293E-8</v>
      </c>
      <c r="I83">
        <f t="shared" si="9"/>
        <v>2.4503588640133144E-2</v>
      </c>
      <c r="J83" t="str">
        <f t="shared" si="10"/>
        <v>Iris-versicolor</v>
      </c>
      <c r="K83">
        <f t="shared" si="11"/>
        <v>1</v>
      </c>
    </row>
    <row r="84" spans="1:11" x14ac:dyDescent="0.3">
      <c r="A84">
        <v>5.8</v>
      </c>
      <c r="B84">
        <v>2.7</v>
      </c>
      <c r="C84">
        <v>3.9</v>
      </c>
      <c r="D84">
        <v>1.2</v>
      </c>
      <c r="E84" t="s">
        <v>6</v>
      </c>
      <c r="F84">
        <f t="shared" si="6"/>
        <v>3.8382654145993554E-62</v>
      </c>
      <c r="G84">
        <f t="shared" si="7"/>
        <v>0.31848531086861842</v>
      </c>
      <c r="H84">
        <f t="shared" si="8"/>
        <v>1.0707795122154879E-5</v>
      </c>
      <c r="I84">
        <f t="shared" si="9"/>
        <v>0.31848531086861842</v>
      </c>
      <c r="J84" t="str">
        <f t="shared" si="10"/>
        <v>Iris-versicolor</v>
      </c>
      <c r="K84">
        <f t="shared" si="11"/>
        <v>1</v>
      </c>
    </row>
    <row r="85" spans="1:11" x14ac:dyDescent="0.3">
      <c r="A85">
        <v>6</v>
      </c>
      <c r="B85">
        <v>2.7</v>
      </c>
      <c r="C85">
        <v>5.0999999999999996</v>
      </c>
      <c r="D85">
        <v>1.6</v>
      </c>
      <c r="E85" t="s">
        <v>6</v>
      </c>
      <c r="F85">
        <f t="shared" si="6"/>
        <v>8.5631824848299099E-133</v>
      </c>
      <c r="G85">
        <f t="shared" si="7"/>
        <v>4.1655522611193117E-2</v>
      </c>
      <c r="H85">
        <f t="shared" si="8"/>
        <v>2.6249781521782124E-2</v>
      </c>
      <c r="I85">
        <f t="shared" si="9"/>
        <v>4.1655522611193117E-2</v>
      </c>
      <c r="J85" t="str">
        <f t="shared" si="10"/>
        <v>Iris-versicolor</v>
      </c>
      <c r="K85">
        <f t="shared" si="11"/>
        <v>1</v>
      </c>
    </row>
    <row r="86" spans="1:11" x14ac:dyDescent="0.3">
      <c r="A86">
        <v>5.4</v>
      </c>
      <c r="B86">
        <v>3</v>
      </c>
      <c r="C86">
        <v>4.5</v>
      </c>
      <c r="D86">
        <v>1.5</v>
      </c>
      <c r="E86" t="s">
        <v>6</v>
      </c>
      <c r="F86">
        <f t="shared" si="6"/>
        <v>5.087819030577316E-97</v>
      </c>
      <c r="G86">
        <f t="shared" si="7"/>
        <v>0.14757258262162734</v>
      </c>
      <c r="H86">
        <f t="shared" si="8"/>
        <v>1.2156384117725772E-3</v>
      </c>
      <c r="I86">
        <f t="shared" si="9"/>
        <v>0.14757258262162734</v>
      </c>
      <c r="J86" t="str">
        <f t="shared" si="10"/>
        <v>Iris-versicolor</v>
      </c>
      <c r="K86">
        <f t="shared" si="11"/>
        <v>1</v>
      </c>
    </row>
    <row r="87" spans="1:11" x14ac:dyDescent="0.3">
      <c r="A87">
        <v>6</v>
      </c>
      <c r="B87">
        <v>3.4</v>
      </c>
      <c r="C87">
        <v>4.5</v>
      </c>
      <c r="D87">
        <v>1.6</v>
      </c>
      <c r="E87" t="s">
        <v>6</v>
      </c>
      <c r="F87">
        <f t="shared" si="6"/>
        <v>3.777599698126545E-103</v>
      </c>
      <c r="G87">
        <f t="shared" si="7"/>
        <v>2.4686349619832511E-2</v>
      </c>
      <c r="H87">
        <f t="shared" si="8"/>
        <v>3.5779599659218468E-3</v>
      </c>
      <c r="I87">
        <f t="shared" si="9"/>
        <v>2.4686349619832511E-2</v>
      </c>
      <c r="J87" t="str">
        <f t="shared" si="10"/>
        <v>Iris-versicolor</v>
      </c>
      <c r="K87">
        <f t="shared" si="11"/>
        <v>1</v>
      </c>
    </row>
    <row r="88" spans="1:11" x14ac:dyDescent="0.3">
      <c r="A88">
        <v>6.7</v>
      </c>
      <c r="B88">
        <v>3.1</v>
      </c>
      <c r="C88">
        <v>4.7</v>
      </c>
      <c r="D88">
        <v>1.5</v>
      </c>
      <c r="E88" t="s">
        <v>6</v>
      </c>
      <c r="F88">
        <f t="shared" si="6"/>
        <v>1.0594334443189054E-110</v>
      </c>
      <c r="G88">
        <f t="shared" si="7"/>
        <v>4.6795237614923296E-2</v>
      </c>
      <c r="H88">
        <f t="shared" si="8"/>
        <v>1.1905764688387055E-2</v>
      </c>
      <c r="I88">
        <f t="shared" si="9"/>
        <v>4.6795237614923296E-2</v>
      </c>
      <c r="J88" t="str">
        <f t="shared" si="10"/>
        <v>Iris-versicolor</v>
      </c>
      <c r="K88">
        <f t="shared" si="11"/>
        <v>1</v>
      </c>
    </row>
    <row r="89" spans="1:11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  <c r="F89">
        <f t="shared" si="6"/>
        <v>3.0659507459338021E-88</v>
      </c>
      <c r="G89">
        <f t="shared" si="7"/>
        <v>0.1337897856332681</v>
      </c>
      <c r="H89">
        <f t="shared" si="8"/>
        <v>9.4014328017783452E-5</v>
      </c>
      <c r="I89">
        <f t="shared" si="9"/>
        <v>0.1337897856332681</v>
      </c>
      <c r="J89" t="str">
        <f t="shared" si="10"/>
        <v>Iris-versicolor</v>
      </c>
      <c r="K89">
        <f t="shared" si="11"/>
        <v>1</v>
      </c>
    </row>
    <row r="90" spans="1:11" x14ac:dyDescent="0.3">
      <c r="A90">
        <v>5.6</v>
      </c>
      <c r="B90">
        <v>3</v>
      </c>
      <c r="C90">
        <v>4.0999999999999996</v>
      </c>
      <c r="D90">
        <v>1.3</v>
      </c>
      <c r="E90" t="s">
        <v>6</v>
      </c>
      <c r="F90">
        <f t="shared" si="6"/>
        <v>2.8925676798671868E-72</v>
      </c>
      <c r="G90">
        <f t="shared" si="7"/>
        <v>0.32134751070654233</v>
      </c>
      <c r="H90">
        <f t="shared" si="8"/>
        <v>7.649562904653561E-5</v>
      </c>
      <c r="I90">
        <f t="shared" si="9"/>
        <v>0.32134751070654233</v>
      </c>
      <c r="J90" t="str">
        <f t="shared" si="10"/>
        <v>Iris-versicolor</v>
      </c>
      <c r="K90">
        <f t="shared" si="11"/>
        <v>1</v>
      </c>
    </row>
    <row r="91" spans="1:11" x14ac:dyDescent="0.3">
      <c r="A91">
        <v>5.5</v>
      </c>
      <c r="B91">
        <v>2.5</v>
      </c>
      <c r="C91">
        <v>4</v>
      </c>
      <c r="D91">
        <v>1.3</v>
      </c>
      <c r="E91" t="s">
        <v>6</v>
      </c>
      <c r="F91">
        <f t="shared" si="6"/>
        <v>2.4138813920420952E-69</v>
      </c>
      <c r="G91">
        <f t="shared" si="7"/>
        <v>0.22837520688877977</v>
      </c>
      <c r="H91">
        <f t="shared" si="8"/>
        <v>1.2311261606655068E-5</v>
      </c>
      <c r="I91">
        <f t="shared" si="9"/>
        <v>0.22837520688877977</v>
      </c>
      <c r="J91" t="str">
        <f t="shared" si="10"/>
        <v>Iris-versicolor</v>
      </c>
      <c r="K91">
        <f t="shared" si="11"/>
        <v>1</v>
      </c>
    </row>
    <row r="92" spans="1:11" x14ac:dyDescent="0.3">
      <c r="A92">
        <v>5.5</v>
      </c>
      <c r="B92">
        <v>2.6</v>
      </c>
      <c r="C92">
        <v>4.4000000000000004</v>
      </c>
      <c r="D92">
        <v>1.2</v>
      </c>
      <c r="E92" t="s">
        <v>6</v>
      </c>
      <c r="F92">
        <f t="shared" si="6"/>
        <v>4.53222549329168E-81</v>
      </c>
      <c r="G92">
        <f t="shared" si="7"/>
        <v>0.26210737676911378</v>
      </c>
      <c r="H92">
        <f t="shared" si="8"/>
        <v>3.9055085465866187E-5</v>
      </c>
      <c r="I92">
        <f t="shared" si="9"/>
        <v>0.26210737676911378</v>
      </c>
      <c r="J92" t="str">
        <f t="shared" si="10"/>
        <v>Iris-versicolor</v>
      </c>
      <c r="K92">
        <f t="shared" si="11"/>
        <v>1</v>
      </c>
    </row>
    <row r="93" spans="1:11" x14ac:dyDescent="0.3">
      <c r="A93">
        <v>6.1</v>
      </c>
      <c r="B93">
        <v>3</v>
      </c>
      <c r="C93">
        <v>4.5999999999999996</v>
      </c>
      <c r="D93">
        <v>1.4</v>
      </c>
      <c r="E93" t="s">
        <v>6</v>
      </c>
      <c r="F93">
        <f t="shared" si="6"/>
        <v>9.8018546061940602E-99</v>
      </c>
      <c r="G93">
        <f t="shared" si="7"/>
        <v>0.28967337969636664</v>
      </c>
      <c r="H93">
        <f t="shared" si="8"/>
        <v>3.3581579020097959E-3</v>
      </c>
      <c r="I93">
        <f t="shared" si="9"/>
        <v>0.28967337969636664</v>
      </c>
      <c r="J93" t="str">
        <f t="shared" si="10"/>
        <v>Iris-versicolor</v>
      </c>
      <c r="K93">
        <f t="shared" si="11"/>
        <v>1</v>
      </c>
    </row>
    <row r="94" spans="1:11" x14ac:dyDescent="0.3">
      <c r="A94">
        <v>5.8</v>
      </c>
      <c r="B94">
        <v>2.6</v>
      </c>
      <c r="C94">
        <v>4</v>
      </c>
      <c r="D94">
        <v>1.2</v>
      </c>
      <c r="E94" t="s">
        <v>6</v>
      </c>
      <c r="F94">
        <f t="shared" si="6"/>
        <v>5.8644243874742059E-66</v>
      </c>
      <c r="G94">
        <f t="shared" si="7"/>
        <v>0.32443955230753724</v>
      </c>
      <c r="H94">
        <f t="shared" si="8"/>
        <v>1.3268629352522359E-5</v>
      </c>
      <c r="I94">
        <f t="shared" si="9"/>
        <v>0.32443955230753724</v>
      </c>
      <c r="J94" t="str">
        <f t="shared" si="10"/>
        <v>Iris-versicolor</v>
      </c>
      <c r="K94">
        <f t="shared" si="11"/>
        <v>1</v>
      </c>
    </row>
    <row r="95" spans="1:11" x14ac:dyDescent="0.3">
      <c r="A95">
        <v>5</v>
      </c>
      <c r="B95">
        <v>2.2999999999999998</v>
      </c>
      <c r="C95">
        <v>3.3</v>
      </c>
      <c r="D95">
        <v>1</v>
      </c>
      <c r="E95" t="s">
        <v>6</v>
      </c>
      <c r="F95">
        <f t="shared" si="6"/>
        <v>3.4982209839698598E-37</v>
      </c>
      <c r="G95">
        <f t="shared" si="7"/>
        <v>1.1142723003762435E-3</v>
      </c>
      <c r="H95">
        <f t="shared" si="8"/>
        <v>3.026658058806377E-10</v>
      </c>
      <c r="I95">
        <f t="shared" si="9"/>
        <v>1.1142723003762435E-3</v>
      </c>
      <c r="J95" t="str">
        <f t="shared" si="10"/>
        <v>Iris-versicolor</v>
      </c>
      <c r="K95">
        <f t="shared" si="11"/>
        <v>1</v>
      </c>
    </row>
    <row r="96" spans="1:11" x14ac:dyDescent="0.3">
      <c r="A96">
        <v>5.6</v>
      </c>
      <c r="B96">
        <v>2.7</v>
      </c>
      <c r="C96">
        <v>4.2</v>
      </c>
      <c r="D96">
        <v>1.3</v>
      </c>
      <c r="E96" t="s">
        <v>6</v>
      </c>
      <c r="F96">
        <f t="shared" si="6"/>
        <v>1.1936226705293326E-76</v>
      </c>
      <c r="G96">
        <f t="shared" si="7"/>
        <v>0.43098308892018306</v>
      </c>
      <c r="H96">
        <f t="shared" si="8"/>
        <v>8.4762193139976288E-5</v>
      </c>
      <c r="I96">
        <f t="shared" si="9"/>
        <v>0.43098308892018306</v>
      </c>
      <c r="J96" t="str">
        <f t="shared" si="10"/>
        <v>Iris-versicolor</v>
      </c>
      <c r="K96">
        <f t="shared" si="11"/>
        <v>1</v>
      </c>
    </row>
    <row r="97" spans="1:11" x14ac:dyDescent="0.3">
      <c r="A97">
        <v>5.7</v>
      </c>
      <c r="B97">
        <v>3</v>
      </c>
      <c r="C97">
        <v>4.2</v>
      </c>
      <c r="D97">
        <v>1.2</v>
      </c>
      <c r="E97" t="s">
        <v>6</v>
      </c>
      <c r="F97">
        <f t="shared" si="6"/>
        <v>1.4543265466859677E-72</v>
      </c>
      <c r="G97">
        <f t="shared" si="7"/>
        <v>0.30961807199582653</v>
      </c>
      <c r="H97">
        <f t="shared" si="8"/>
        <v>5.4640589925236853E-5</v>
      </c>
      <c r="I97">
        <f t="shared" si="9"/>
        <v>0.30961807199582653</v>
      </c>
      <c r="J97" t="str">
        <f t="shared" si="10"/>
        <v>Iris-versicolor</v>
      </c>
      <c r="K97">
        <f t="shared" si="11"/>
        <v>1</v>
      </c>
    </row>
    <row r="98" spans="1:11" x14ac:dyDescent="0.3">
      <c r="A98">
        <v>5.7</v>
      </c>
      <c r="B98">
        <v>2.9</v>
      </c>
      <c r="C98">
        <v>4.2</v>
      </c>
      <c r="D98">
        <v>1.3</v>
      </c>
      <c r="E98" t="s">
        <v>6</v>
      </c>
      <c r="F98">
        <f t="shared" si="6"/>
        <v>1.6653547396997532E-76</v>
      </c>
      <c r="G98">
        <f t="shared" si="7"/>
        <v>0.45145712631257695</v>
      </c>
      <c r="H98">
        <f t="shared" si="8"/>
        <v>1.4937100922176048E-4</v>
      </c>
      <c r="I98">
        <f t="shared" si="9"/>
        <v>0.45145712631257695</v>
      </c>
      <c r="J98" t="str">
        <f t="shared" si="10"/>
        <v>Iris-versicolor</v>
      </c>
      <c r="K98">
        <f t="shared" si="11"/>
        <v>1</v>
      </c>
    </row>
    <row r="99" spans="1:11" x14ac:dyDescent="0.3">
      <c r="A99">
        <v>6.2</v>
      </c>
      <c r="B99">
        <v>2.9</v>
      </c>
      <c r="C99">
        <v>4.3</v>
      </c>
      <c r="D99">
        <v>1.3</v>
      </c>
      <c r="E99" t="s">
        <v>6</v>
      </c>
      <c r="F99">
        <f t="shared" si="6"/>
        <v>3.5708122494351302E-82</v>
      </c>
      <c r="G99">
        <f t="shared" si="7"/>
        <v>0.44174641897482664</v>
      </c>
      <c r="H99">
        <f t="shared" si="8"/>
        <v>5.0412822310201956E-4</v>
      </c>
      <c r="I99">
        <f t="shared" si="9"/>
        <v>0.44174641897482664</v>
      </c>
      <c r="J99" t="str">
        <f t="shared" si="10"/>
        <v>Iris-versicolor</v>
      </c>
      <c r="K99">
        <f t="shared" si="11"/>
        <v>1</v>
      </c>
    </row>
    <row r="100" spans="1:11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  <c r="F100">
        <f t="shared" si="6"/>
        <v>2.4460090141220502E-32</v>
      </c>
      <c r="G100">
        <f t="shared" si="7"/>
        <v>1.476947021919765E-3</v>
      </c>
      <c r="H100">
        <f t="shared" si="8"/>
        <v>4.5707663894963594E-10</v>
      </c>
      <c r="I100">
        <f t="shared" si="9"/>
        <v>1.476947021919765E-3</v>
      </c>
      <c r="J100" t="str">
        <f t="shared" si="10"/>
        <v>Iris-versicolor</v>
      </c>
      <c r="K100">
        <f t="shared" si="11"/>
        <v>1</v>
      </c>
    </row>
    <row r="101" spans="1:11" x14ac:dyDescent="0.3">
      <c r="A101">
        <v>5.7</v>
      </c>
      <c r="B101">
        <v>2.8</v>
      </c>
      <c r="C101">
        <v>4.0999999999999996</v>
      </c>
      <c r="D101">
        <v>1.3</v>
      </c>
      <c r="E101" t="s">
        <v>6</v>
      </c>
      <c r="F101">
        <f t="shared" si="6"/>
        <v>8.4386018302814491E-73</v>
      </c>
      <c r="G101">
        <f t="shared" si="7"/>
        <v>0.46587100207135435</v>
      </c>
      <c r="H101">
        <f t="shared" si="8"/>
        <v>8.367270678386976E-5</v>
      </c>
      <c r="I101">
        <f t="shared" si="9"/>
        <v>0.46587100207135435</v>
      </c>
      <c r="J101" t="str">
        <f t="shared" si="10"/>
        <v>Iris-versicolor</v>
      </c>
      <c r="K101">
        <f t="shared" si="11"/>
        <v>1</v>
      </c>
    </row>
    <row r="102" spans="1:11" x14ac:dyDescent="0.3">
      <c r="A102">
        <v>6.3</v>
      </c>
      <c r="B102">
        <v>3.3</v>
      </c>
      <c r="C102">
        <v>6</v>
      </c>
      <c r="D102">
        <v>2.5</v>
      </c>
      <c r="E102" t="s">
        <v>7</v>
      </c>
      <c r="F102">
        <f t="shared" si="6"/>
        <v>1.0461979130497406E-247</v>
      </c>
      <c r="G102">
        <f t="shared" si="7"/>
        <v>2.4355475198172937E-12</v>
      </c>
      <c r="H102">
        <f t="shared" si="8"/>
        <v>2.3622432112028999E-2</v>
      </c>
      <c r="I102">
        <f t="shared" si="9"/>
        <v>2.3622432112028999E-2</v>
      </c>
      <c r="J102" t="str">
        <f t="shared" si="10"/>
        <v>Iris-virginica</v>
      </c>
      <c r="K102">
        <f t="shared" si="11"/>
        <v>1</v>
      </c>
    </row>
    <row r="103" spans="1:11" x14ac:dyDescent="0.3">
      <c r="A103">
        <v>5.8</v>
      </c>
      <c r="B103">
        <v>2.7</v>
      </c>
      <c r="C103">
        <v>5.0999999999999996</v>
      </c>
      <c r="D103">
        <v>1.9</v>
      </c>
      <c r="E103" t="s">
        <v>7</v>
      </c>
      <c r="F103">
        <f t="shared" si="6"/>
        <v>3.064841623019023E-149</v>
      </c>
      <c r="G103">
        <f t="shared" si="7"/>
        <v>1.5678772429753981E-3</v>
      </c>
      <c r="H103">
        <f t="shared" si="8"/>
        <v>5.5981444293868199E-2</v>
      </c>
      <c r="I103">
        <f t="shared" si="9"/>
        <v>5.5981444293868199E-2</v>
      </c>
      <c r="J103" t="str">
        <f t="shared" si="10"/>
        <v>Iris-virginica</v>
      </c>
      <c r="K103">
        <f t="shared" si="11"/>
        <v>1</v>
      </c>
    </row>
    <row r="104" spans="1:11" x14ac:dyDescent="0.3">
      <c r="A104">
        <v>7.1</v>
      </c>
      <c r="B104">
        <v>3</v>
      </c>
      <c r="C104">
        <v>5.9</v>
      </c>
      <c r="D104">
        <v>2.1</v>
      </c>
      <c r="E104" t="s">
        <v>7</v>
      </c>
      <c r="F104">
        <f t="shared" si="6"/>
        <v>3.8700634988889926E-215</v>
      </c>
      <c r="G104">
        <f t="shared" si="7"/>
        <v>3.5662500836502507E-8</v>
      </c>
      <c r="H104">
        <f t="shared" si="8"/>
        <v>0.15322311604477132</v>
      </c>
      <c r="I104">
        <f t="shared" si="9"/>
        <v>0.15322311604477132</v>
      </c>
      <c r="J104" t="str">
        <f t="shared" si="10"/>
        <v>Iris-virginica</v>
      </c>
      <c r="K104">
        <f t="shared" si="11"/>
        <v>1</v>
      </c>
    </row>
    <row r="105" spans="1:11" x14ac:dyDescent="0.3">
      <c r="A105">
        <v>6.3</v>
      </c>
      <c r="B105">
        <v>2.9</v>
      </c>
      <c r="C105">
        <v>5.6</v>
      </c>
      <c r="D105">
        <v>1.8</v>
      </c>
      <c r="E105" t="s">
        <v>7</v>
      </c>
      <c r="F105">
        <f t="shared" si="6"/>
        <v>1.1780484208001826E-172</v>
      </c>
      <c r="G105">
        <f t="shared" si="7"/>
        <v>3.8545966648055287E-4</v>
      </c>
      <c r="H105">
        <f t="shared" si="8"/>
        <v>0.16786742899474275</v>
      </c>
      <c r="I105">
        <f t="shared" si="9"/>
        <v>0.16786742899474275</v>
      </c>
      <c r="J105" t="str">
        <f t="shared" si="10"/>
        <v>Iris-virginica</v>
      </c>
      <c r="K105">
        <f t="shared" si="11"/>
        <v>1</v>
      </c>
    </row>
    <row r="106" spans="1:11" x14ac:dyDescent="0.3">
      <c r="A106">
        <v>6.5</v>
      </c>
      <c r="B106">
        <v>3</v>
      </c>
      <c r="C106">
        <v>5.8</v>
      </c>
      <c r="D106">
        <v>2.2000000000000002</v>
      </c>
      <c r="E106" t="s">
        <v>7</v>
      </c>
      <c r="F106">
        <f t="shared" si="6"/>
        <v>2.9876576125841605E-212</v>
      </c>
      <c r="G106">
        <f t="shared" si="7"/>
        <v>6.2350750411183733E-8</v>
      </c>
      <c r="H106">
        <f t="shared" si="8"/>
        <v>0.19635647509975165</v>
      </c>
      <c r="I106">
        <f t="shared" si="9"/>
        <v>0.19635647509975165</v>
      </c>
      <c r="J106" t="str">
        <f t="shared" si="10"/>
        <v>Iris-virginica</v>
      </c>
      <c r="K106">
        <f t="shared" si="11"/>
        <v>1</v>
      </c>
    </row>
    <row r="107" spans="1:11" x14ac:dyDescent="0.3">
      <c r="A107">
        <v>7.6</v>
      </c>
      <c r="B107">
        <v>3</v>
      </c>
      <c r="C107">
        <v>6.6</v>
      </c>
      <c r="D107">
        <v>2.1</v>
      </c>
      <c r="E107" t="s">
        <v>7</v>
      </c>
      <c r="F107">
        <f t="shared" si="6"/>
        <v>1.455474292241666E-267</v>
      </c>
      <c r="G107">
        <f t="shared" si="7"/>
        <v>4.5716126362978102E-12</v>
      </c>
      <c r="H107">
        <f t="shared" si="8"/>
        <v>1.2007003340711109E-2</v>
      </c>
      <c r="I107">
        <f t="shared" si="9"/>
        <v>1.2007003340711109E-2</v>
      </c>
      <c r="J107" t="str">
        <f t="shared" si="10"/>
        <v>Iris-virginica</v>
      </c>
      <c r="K107">
        <f t="shared" si="11"/>
        <v>1</v>
      </c>
    </row>
    <row r="108" spans="1:11" x14ac:dyDescent="0.3">
      <c r="A108">
        <v>4.9000000000000004</v>
      </c>
      <c r="B108">
        <v>2.5</v>
      </c>
      <c r="C108">
        <v>4.5</v>
      </c>
      <c r="D108">
        <v>1.7</v>
      </c>
      <c r="E108" t="s">
        <v>7</v>
      </c>
      <c r="F108">
        <f t="shared" si="6"/>
        <v>5.1500046110406972E-108</v>
      </c>
      <c r="G108">
        <f t="shared" si="7"/>
        <v>7.5112823732211738E-3</v>
      </c>
      <c r="H108">
        <f t="shared" si="8"/>
        <v>2.164661722180619E-4</v>
      </c>
      <c r="I108">
        <f t="shared" si="9"/>
        <v>7.5112823732211738E-3</v>
      </c>
      <c r="J108" t="str">
        <f t="shared" si="10"/>
        <v>Iris-versicolor</v>
      </c>
      <c r="K108">
        <f t="shared" si="11"/>
        <v>0</v>
      </c>
    </row>
    <row r="109" spans="1:11" x14ac:dyDescent="0.3">
      <c r="A109">
        <v>7.3</v>
      </c>
      <c r="B109">
        <v>2.9</v>
      </c>
      <c r="C109">
        <v>6.3</v>
      </c>
      <c r="D109">
        <v>1.8</v>
      </c>
      <c r="E109" t="s">
        <v>7</v>
      </c>
      <c r="F109">
        <f t="shared" si="6"/>
        <v>3.174557158528147E-224</v>
      </c>
      <c r="G109">
        <f t="shared" si="7"/>
        <v>7.0948365220604313E-8</v>
      </c>
      <c r="H109">
        <f t="shared" si="8"/>
        <v>3.9812785830413082E-2</v>
      </c>
      <c r="I109">
        <f t="shared" si="9"/>
        <v>3.9812785830413082E-2</v>
      </c>
      <c r="J109" t="str">
        <f t="shared" si="10"/>
        <v>Iris-virginica</v>
      </c>
      <c r="K109">
        <f t="shared" si="11"/>
        <v>1</v>
      </c>
    </row>
    <row r="110" spans="1:11" x14ac:dyDescent="0.3">
      <c r="A110">
        <v>6.7</v>
      </c>
      <c r="B110">
        <v>2.5</v>
      </c>
      <c r="C110">
        <v>5.8</v>
      </c>
      <c r="D110">
        <v>1.8</v>
      </c>
      <c r="E110" t="s">
        <v>7</v>
      </c>
      <c r="F110">
        <f t="shared" si="6"/>
        <v>7.9791207154824582E-188</v>
      </c>
      <c r="G110">
        <f t="shared" si="7"/>
        <v>3.3753691288726024E-5</v>
      </c>
      <c r="H110">
        <f t="shared" si="8"/>
        <v>5.7930502569903751E-2</v>
      </c>
      <c r="I110">
        <f t="shared" si="9"/>
        <v>5.7930502569903751E-2</v>
      </c>
      <c r="J110" t="str">
        <f t="shared" si="10"/>
        <v>Iris-virginica</v>
      </c>
      <c r="K110">
        <f t="shared" si="11"/>
        <v>1</v>
      </c>
    </row>
    <row r="111" spans="1:11" x14ac:dyDescent="0.3">
      <c r="A111">
        <v>7.2</v>
      </c>
      <c r="B111">
        <v>3.6</v>
      </c>
      <c r="C111">
        <v>6.1</v>
      </c>
      <c r="D111">
        <v>2.5</v>
      </c>
      <c r="E111" t="s">
        <v>7</v>
      </c>
      <c r="F111">
        <f t="shared" si="6"/>
        <v>7.7458905718511419E-260</v>
      </c>
      <c r="G111">
        <f t="shared" si="7"/>
        <v>8.7226717511007433E-15</v>
      </c>
      <c r="H111">
        <f t="shared" si="8"/>
        <v>3.5434080227728735E-3</v>
      </c>
      <c r="I111">
        <f t="shared" si="9"/>
        <v>3.5434080227728735E-3</v>
      </c>
      <c r="J111" t="str">
        <f t="shared" si="10"/>
        <v>Iris-virginica</v>
      </c>
      <c r="K111">
        <f t="shared" si="11"/>
        <v>1</v>
      </c>
    </row>
    <row r="112" spans="1:11" x14ac:dyDescent="0.3">
      <c r="A112">
        <v>6.5</v>
      </c>
      <c r="B112">
        <v>3.2</v>
      </c>
      <c r="C112">
        <v>5.0999999999999996</v>
      </c>
      <c r="D112">
        <v>2</v>
      </c>
      <c r="E112" t="s">
        <v>7</v>
      </c>
      <c r="F112">
        <f t="shared" si="6"/>
        <v>8.7342362933697763E-158</v>
      </c>
      <c r="G112">
        <f t="shared" si="7"/>
        <v>7.2645162475142938E-5</v>
      </c>
      <c r="H112">
        <f t="shared" si="8"/>
        <v>0.14832708626730895</v>
      </c>
      <c r="I112">
        <f t="shared" si="9"/>
        <v>0.14832708626730895</v>
      </c>
      <c r="J112" t="str">
        <f t="shared" si="10"/>
        <v>Iris-virginica</v>
      </c>
      <c r="K112">
        <f t="shared" si="11"/>
        <v>1</v>
      </c>
    </row>
    <row r="113" spans="1:11" x14ac:dyDescent="0.3">
      <c r="A113">
        <v>6.4</v>
      </c>
      <c r="B113">
        <v>2.7</v>
      </c>
      <c r="C113">
        <v>5.3</v>
      </c>
      <c r="D113">
        <v>1.9</v>
      </c>
      <c r="E113" t="s">
        <v>7</v>
      </c>
      <c r="F113">
        <f t="shared" si="6"/>
        <v>2.5903404532383601E-162</v>
      </c>
      <c r="G113">
        <f t="shared" si="7"/>
        <v>4.6255593332485703E-4</v>
      </c>
      <c r="H113">
        <f t="shared" si="8"/>
        <v>0.14551661760547488</v>
      </c>
      <c r="I113">
        <f t="shared" si="9"/>
        <v>0.14551661760547488</v>
      </c>
      <c r="J113" t="str">
        <f t="shared" si="10"/>
        <v>Iris-virginica</v>
      </c>
      <c r="K113">
        <f t="shared" si="11"/>
        <v>1</v>
      </c>
    </row>
    <row r="114" spans="1:11" x14ac:dyDescent="0.3">
      <c r="A114">
        <v>6.8</v>
      </c>
      <c r="B114">
        <v>3</v>
      </c>
      <c r="C114">
        <v>5.5</v>
      </c>
      <c r="D114">
        <v>2.1</v>
      </c>
      <c r="E114" t="s">
        <v>7</v>
      </c>
      <c r="F114">
        <f t="shared" si="6"/>
        <v>1.1713835721311366E-188</v>
      </c>
      <c r="G114">
        <f t="shared" si="7"/>
        <v>1.5167944283836885E-6</v>
      </c>
      <c r="H114">
        <f t="shared" si="8"/>
        <v>0.2434326086780913</v>
      </c>
      <c r="I114">
        <f t="shared" si="9"/>
        <v>0.2434326086780913</v>
      </c>
      <c r="J114" t="str">
        <f t="shared" si="10"/>
        <v>Iris-virginica</v>
      </c>
      <c r="K114">
        <f t="shared" si="11"/>
        <v>1</v>
      </c>
    </row>
    <row r="115" spans="1:11" x14ac:dyDescent="0.3">
      <c r="A115">
        <v>5.7</v>
      </c>
      <c r="B115">
        <v>2.5</v>
      </c>
      <c r="C115">
        <v>5</v>
      </c>
      <c r="D115">
        <v>2</v>
      </c>
      <c r="E115" t="s">
        <v>7</v>
      </c>
      <c r="F115">
        <f t="shared" si="6"/>
        <v>9.636880238258535E-151</v>
      </c>
      <c r="G115">
        <f t="shared" si="7"/>
        <v>3.0021143199223456E-4</v>
      </c>
      <c r="H115">
        <f t="shared" si="8"/>
        <v>2.0790727149175781E-2</v>
      </c>
      <c r="I115">
        <f t="shared" si="9"/>
        <v>2.0790727149175781E-2</v>
      </c>
      <c r="J115" t="str">
        <f t="shared" si="10"/>
        <v>Iris-virginica</v>
      </c>
      <c r="K115">
        <f t="shared" si="11"/>
        <v>1</v>
      </c>
    </row>
    <row r="116" spans="1:11" x14ac:dyDescent="0.3">
      <c r="A116">
        <v>5.8</v>
      </c>
      <c r="B116">
        <v>2.8</v>
      </c>
      <c r="C116">
        <v>5.0999999999999996</v>
      </c>
      <c r="D116">
        <v>2.4</v>
      </c>
      <c r="E116" t="s">
        <v>7</v>
      </c>
      <c r="F116">
        <f t="shared" si="6"/>
        <v>4.7563074620774737E-185</v>
      </c>
      <c r="G116">
        <f t="shared" si="7"/>
        <v>4.2525732113162146E-8</v>
      </c>
      <c r="H116">
        <f t="shared" si="8"/>
        <v>3.0522717000612067E-2</v>
      </c>
      <c r="I116">
        <f t="shared" si="9"/>
        <v>3.0522717000612067E-2</v>
      </c>
      <c r="J116" t="str">
        <f t="shared" si="10"/>
        <v>Iris-virginica</v>
      </c>
      <c r="K116">
        <f t="shared" si="11"/>
        <v>1</v>
      </c>
    </row>
    <row r="117" spans="1:11" x14ac:dyDescent="0.3">
      <c r="A117">
        <v>6.4</v>
      </c>
      <c r="B117">
        <v>3.2</v>
      </c>
      <c r="C117">
        <v>5.3</v>
      </c>
      <c r="D117">
        <v>2.2999999999999998</v>
      </c>
      <c r="E117" t="s">
        <v>7</v>
      </c>
      <c r="F117">
        <f t="shared" si="6"/>
        <v>1.1531237052976897E-189</v>
      </c>
      <c r="G117">
        <f t="shared" si="7"/>
        <v>6.7600422041143148E-8</v>
      </c>
      <c r="H117">
        <f t="shared" si="8"/>
        <v>0.11030699796348711</v>
      </c>
      <c r="I117">
        <f t="shared" si="9"/>
        <v>0.11030699796348711</v>
      </c>
      <c r="J117" t="str">
        <f t="shared" si="10"/>
        <v>Iris-virginica</v>
      </c>
      <c r="K117">
        <f t="shared" si="11"/>
        <v>1</v>
      </c>
    </row>
    <row r="118" spans="1:11" x14ac:dyDescent="0.3">
      <c r="A118">
        <v>6.5</v>
      </c>
      <c r="B118">
        <v>3</v>
      </c>
      <c r="C118">
        <v>5.5</v>
      </c>
      <c r="D118">
        <v>1.8</v>
      </c>
      <c r="E118" t="s">
        <v>7</v>
      </c>
      <c r="F118">
        <f t="shared" si="6"/>
        <v>1.3517522490649387E-167</v>
      </c>
      <c r="G118">
        <f t="shared" si="7"/>
        <v>4.0647763581601294E-4</v>
      </c>
      <c r="H118">
        <f t="shared" si="8"/>
        <v>0.18840319809491723</v>
      </c>
      <c r="I118">
        <f t="shared" si="9"/>
        <v>0.18840319809491723</v>
      </c>
      <c r="J118" t="str">
        <f t="shared" si="10"/>
        <v>Iris-virginica</v>
      </c>
      <c r="K118">
        <f t="shared" si="11"/>
        <v>1</v>
      </c>
    </row>
    <row r="119" spans="1:11" x14ac:dyDescent="0.3">
      <c r="A119">
        <v>7.7</v>
      </c>
      <c r="B119">
        <v>3.8</v>
      </c>
      <c r="C119">
        <v>6.7</v>
      </c>
      <c r="D119">
        <v>2.2000000000000002</v>
      </c>
      <c r="E119" t="s">
        <v>7</v>
      </c>
      <c r="F119">
        <f t="shared" si="6"/>
        <v>3.9726045589972346E-283</v>
      </c>
      <c r="G119">
        <f t="shared" si="7"/>
        <v>5.9246133726273265E-16</v>
      </c>
      <c r="H119">
        <f t="shared" si="8"/>
        <v>2.0621724906979232E-4</v>
      </c>
      <c r="I119">
        <f t="shared" si="9"/>
        <v>2.0621724906979232E-4</v>
      </c>
      <c r="J119" t="str">
        <f t="shared" si="10"/>
        <v>Iris-virginica</v>
      </c>
      <c r="K119">
        <f t="shared" si="11"/>
        <v>1</v>
      </c>
    </row>
    <row r="120" spans="1:11" x14ac:dyDescent="0.3">
      <c r="A120">
        <v>7.7</v>
      </c>
      <c r="B120">
        <v>2.6</v>
      </c>
      <c r="C120">
        <v>6.9</v>
      </c>
      <c r="D120">
        <v>2.2999999999999998</v>
      </c>
      <c r="E120" t="s">
        <v>7</v>
      </c>
      <c r="F120">
        <f t="shared" si="6"/>
        <v>6.9507451424519768E-307</v>
      </c>
      <c r="G120">
        <f t="shared" si="7"/>
        <v>1.0548321828026248E-15</v>
      </c>
      <c r="H120">
        <f t="shared" si="8"/>
        <v>9.160750499536105E-4</v>
      </c>
      <c r="I120">
        <f t="shared" si="9"/>
        <v>9.160750499536105E-4</v>
      </c>
      <c r="J120" t="str">
        <f t="shared" si="10"/>
        <v>Iris-virginica</v>
      </c>
      <c r="K120">
        <f t="shared" si="11"/>
        <v>1</v>
      </c>
    </row>
    <row r="121" spans="1:11" x14ac:dyDescent="0.3">
      <c r="A121">
        <v>6</v>
      </c>
      <c r="B121">
        <v>2.2000000000000002</v>
      </c>
      <c r="C121">
        <v>5</v>
      </c>
      <c r="D121">
        <v>1.5</v>
      </c>
      <c r="E121" t="s">
        <v>7</v>
      </c>
      <c r="F121">
        <f t="shared" si="6"/>
        <v>3.9124887006847543E-124</v>
      </c>
      <c r="G121">
        <f t="shared" si="7"/>
        <v>2.0803624457925173E-2</v>
      </c>
      <c r="H121">
        <f t="shared" si="8"/>
        <v>9.5378821922736956E-4</v>
      </c>
      <c r="I121">
        <f t="shared" si="9"/>
        <v>2.0803624457925173E-2</v>
      </c>
      <c r="J121" t="str">
        <f t="shared" si="10"/>
        <v>Iris-versicolor</v>
      </c>
      <c r="K121">
        <f t="shared" si="11"/>
        <v>0</v>
      </c>
    </row>
    <row r="122" spans="1:11" x14ac:dyDescent="0.3">
      <c r="A122">
        <v>6.9</v>
      </c>
      <c r="B122">
        <v>3.2</v>
      </c>
      <c r="C122">
        <v>5.7</v>
      </c>
      <c r="D122">
        <v>2.2999999999999998</v>
      </c>
      <c r="E122" t="s">
        <v>7</v>
      </c>
      <c r="F122">
        <f t="shared" si="6"/>
        <v>7.9476738438012544E-216</v>
      </c>
      <c r="G122">
        <f t="shared" si="7"/>
        <v>1.8728805599625071E-9</v>
      </c>
      <c r="H122">
        <f t="shared" si="8"/>
        <v>0.10938664226134782</v>
      </c>
      <c r="I122">
        <f t="shared" si="9"/>
        <v>0.10938664226134782</v>
      </c>
      <c r="J122" t="str">
        <f t="shared" si="10"/>
        <v>Iris-virginica</v>
      </c>
      <c r="K122">
        <f t="shared" si="11"/>
        <v>1</v>
      </c>
    </row>
    <row r="123" spans="1:11" x14ac:dyDescent="0.3">
      <c r="A123">
        <v>5.6</v>
      </c>
      <c r="B123">
        <v>2.8</v>
      </c>
      <c r="C123">
        <v>4.9000000000000004</v>
      </c>
      <c r="D123">
        <v>2</v>
      </c>
      <c r="E123" t="s">
        <v>7</v>
      </c>
      <c r="F123">
        <f t="shared" si="6"/>
        <v>8.4523206194220461E-145</v>
      </c>
      <c r="G123">
        <f t="shared" si="7"/>
        <v>5.3124087800502881E-4</v>
      </c>
      <c r="H123">
        <f t="shared" si="8"/>
        <v>3.4448320620021164E-2</v>
      </c>
      <c r="I123">
        <f t="shared" si="9"/>
        <v>3.4448320620021164E-2</v>
      </c>
      <c r="J123" t="str">
        <f t="shared" si="10"/>
        <v>Iris-virginica</v>
      </c>
      <c r="K123">
        <f t="shared" si="11"/>
        <v>1</v>
      </c>
    </row>
    <row r="124" spans="1:11" x14ac:dyDescent="0.3">
      <c r="A124">
        <v>7.7</v>
      </c>
      <c r="B124">
        <v>2.8</v>
      </c>
      <c r="C124">
        <v>6.7</v>
      </c>
      <c r="D124">
        <v>2</v>
      </c>
      <c r="E124" t="s">
        <v>7</v>
      </c>
      <c r="F124">
        <f t="shared" si="6"/>
        <v>1.8699258322612288E-269</v>
      </c>
      <c r="G124">
        <f t="shared" si="7"/>
        <v>6.7505091389798677E-12</v>
      </c>
      <c r="H124">
        <f t="shared" si="8"/>
        <v>5.765367003643199E-3</v>
      </c>
      <c r="I124">
        <f t="shared" si="9"/>
        <v>5.765367003643199E-3</v>
      </c>
      <c r="J124" t="str">
        <f t="shared" si="10"/>
        <v>Iris-virginica</v>
      </c>
      <c r="K124">
        <f t="shared" si="11"/>
        <v>1</v>
      </c>
    </row>
    <row r="125" spans="1:11" x14ac:dyDescent="0.3">
      <c r="A125">
        <v>6.3</v>
      </c>
      <c r="B125">
        <v>2.7</v>
      </c>
      <c r="C125">
        <v>4.9000000000000004</v>
      </c>
      <c r="D125">
        <v>1.8</v>
      </c>
      <c r="E125" t="s">
        <v>7</v>
      </c>
      <c r="F125">
        <f t="shared" si="6"/>
        <v>8.5459518993939664E-135</v>
      </c>
      <c r="G125">
        <f t="shared" si="7"/>
        <v>9.4495660787731698E-3</v>
      </c>
      <c r="H125">
        <f t="shared" si="8"/>
        <v>6.0010494212788576E-2</v>
      </c>
      <c r="I125">
        <f t="shared" si="9"/>
        <v>6.0010494212788576E-2</v>
      </c>
      <c r="J125" t="str">
        <f t="shared" si="10"/>
        <v>Iris-virginica</v>
      </c>
      <c r="K125">
        <f t="shared" si="11"/>
        <v>1</v>
      </c>
    </row>
    <row r="126" spans="1:11" x14ac:dyDescent="0.3">
      <c r="A126">
        <v>6.7</v>
      </c>
      <c r="B126">
        <v>3.3</v>
      </c>
      <c r="C126">
        <v>5.7</v>
      </c>
      <c r="D126">
        <v>2.1</v>
      </c>
      <c r="E126" t="s">
        <v>7</v>
      </c>
      <c r="F126">
        <f t="shared" si="6"/>
        <v>9.6842221729360237E-200</v>
      </c>
      <c r="G126">
        <f t="shared" si="7"/>
        <v>1.9218798571870221E-7</v>
      </c>
      <c r="H126">
        <f t="shared" si="8"/>
        <v>0.147778533530838</v>
      </c>
      <c r="I126">
        <f t="shared" si="9"/>
        <v>0.147778533530838</v>
      </c>
      <c r="J126" t="str">
        <f t="shared" si="10"/>
        <v>Iris-virginica</v>
      </c>
      <c r="K126">
        <f t="shared" si="11"/>
        <v>1</v>
      </c>
    </row>
    <row r="127" spans="1:11" x14ac:dyDescent="0.3">
      <c r="A127">
        <v>7.2</v>
      </c>
      <c r="B127">
        <v>3.2</v>
      </c>
      <c r="C127">
        <v>6</v>
      </c>
      <c r="D127">
        <v>1.8</v>
      </c>
      <c r="E127" t="s">
        <v>7</v>
      </c>
      <c r="F127">
        <f t="shared" si="6"/>
        <v>7.8631771512697631E-203</v>
      </c>
      <c r="G127">
        <f t="shared" si="7"/>
        <v>6.45369536225365E-7</v>
      </c>
      <c r="H127">
        <f t="shared" si="8"/>
        <v>6.7875911452870044E-2</v>
      </c>
      <c r="I127">
        <f t="shared" si="9"/>
        <v>6.7875911452870044E-2</v>
      </c>
      <c r="J127" t="str">
        <f t="shared" si="10"/>
        <v>Iris-virginica</v>
      </c>
      <c r="K127">
        <f t="shared" si="11"/>
        <v>1</v>
      </c>
    </row>
    <row r="128" spans="1:11" x14ac:dyDescent="0.3">
      <c r="A128">
        <v>6.2</v>
      </c>
      <c r="B128">
        <v>2.8</v>
      </c>
      <c r="C128">
        <v>4.8</v>
      </c>
      <c r="D128">
        <v>1.8</v>
      </c>
      <c r="E128" t="s">
        <v>7</v>
      </c>
      <c r="F128">
        <f t="shared" si="6"/>
        <v>2.8240277970916992E-129</v>
      </c>
      <c r="G128">
        <f t="shared" si="7"/>
        <v>1.4172784119452614E-2</v>
      </c>
      <c r="H128">
        <f t="shared" si="8"/>
        <v>5.437082678867515E-2</v>
      </c>
      <c r="I128">
        <f t="shared" si="9"/>
        <v>5.437082678867515E-2</v>
      </c>
      <c r="J128" t="str">
        <f t="shared" si="10"/>
        <v>Iris-virginica</v>
      </c>
      <c r="K128">
        <f t="shared" si="11"/>
        <v>1</v>
      </c>
    </row>
    <row r="129" spans="1:11" x14ac:dyDescent="0.3">
      <c r="A129">
        <v>6.1</v>
      </c>
      <c r="B129">
        <v>3</v>
      </c>
      <c r="C129">
        <v>4.9000000000000004</v>
      </c>
      <c r="D129">
        <v>1.8</v>
      </c>
      <c r="E129" t="s">
        <v>7</v>
      </c>
      <c r="F129">
        <f t="shared" si="6"/>
        <v>1.8888224338318209E-133</v>
      </c>
      <c r="G129">
        <f t="shared" si="7"/>
        <v>9.0287340213395049E-3</v>
      </c>
      <c r="H129">
        <f t="shared" si="8"/>
        <v>7.082991102902525E-2</v>
      </c>
      <c r="I129">
        <f t="shared" si="9"/>
        <v>7.082991102902525E-2</v>
      </c>
      <c r="J129" t="str">
        <f t="shared" si="10"/>
        <v>Iris-virginica</v>
      </c>
      <c r="K129">
        <f t="shared" si="11"/>
        <v>1</v>
      </c>
    </row>
    <row r="130" spans="1:11" x14ac:dyDescent="0.3">
      <c r="A130">
        <v>6.4</v>
      </c>
      <c r="B130">
        <v>2.8</v>
      </c>
      <c r="C130">
        <v>5.6</v>
      </c>
      <c r="D130">
        <v>2.1</v>
      </c>
      <c r="E130" t="s">
        <v>7</v>
      </c>
      <c r="F130">
        <f t="shared" si="6"/>
        <v>1.239326992578134E-192</v>
      </c>
      <c r="G130">
        <f t="shared" si="7"/>
        <v>2.9841635954993131E-6</v>
      </c>
      <c r="H130">
        <f t="shared" si="8"/>
        <v>0.21380529716073793</v>
      </c>
      <c r="I130">
        <f t="shared" si="9"/>
        <v>0.21380529716073793</v>
      </c>
      <c r="J130" t="str">
        <f t="shared" si="10"/>
        <v>Iris-virginica</v>
      </c>
      <c r="K130">
        <f t="shared" si="11"/>
        <v>1</v>
      </c>
    </row>
    <row r="131" spans="1:11" x14ac:dyDescent="0.3">
      <c r="A131">
        <v>7.2</v>
      </c>
      <c r="B131">
        <v>3</v>
      </c>
      <c r="C131">
        <v>5.8</v>
      </c>
      <c r="D131">
        <v>1.6</v>
      </c>
      <c r="E131" t="s">
        <v>7</v>
      </c>
      <c r="F131">
        <f t="shared" ref="F131:F151" si="12">$N$2*_xlfn.NORM.DIST(A131,$M$9,$M$10,FALSE)*_xlfn.NORM.DIST(B131,$N$9,$N$10,FALSE)*_xlfn.NORM.DIST(C131,$O$9,$O$10,FALSE)*_xlfn.NORM.DIST(D131,$P$9,$P$10,FALSE)</f>
        <v>3.2103713593842494E-179</v>
      </c>
      <c r="G131">
        <f t="shared" ref="G131:G151" si="13">$N$3*_xlfn.NORM.DIST(A131,$M$15,$M$16,FALSE)*_xlfn.NORM.DIST(B131,$N$15,$N$16,FALSE)*_xlfn.NORM.DIST(C131,$O$15,$O$16,FALSE)*_xlfn.NORM.DIST(D131,$P$15,$P$16,FALSE)</f>
        <v>3.7730479783839122E-5</v>
      </c>
      <c r="H131">
        <f t="shared" ref="H131:H151" si="14">$N$4*_xlfn.NORM.DIST(A131,$M$21,$M$22,FALSE)*_xlfn.NORM.DIST(B131,$N$21,$N$22,FALSE)*_xlfn.NORM.DIST(C131,$O$21,$O$22,FALSE)*_xlfn.NORM.DIST(D131,$P$21,$P$22,FALSE)</f>
        <v>4.5793300209306068E-2</v>
      </c>
      <c r="I131">
        <f t="shared" ref="I131:I151" si="15">MAX(F131:H131)</f>
        <v>4.5793300209306068E-2</v>
      </c>
      <c r="J131" t="str">
        <f t="shared" ref="J131:J151" si="16">IF(I131=F131,$E$2,IF(I131=G131,$E$52,$E$102))</f>
        <v>Iris-virginica</v>
      </c>
      <c r="K131">
        <f t="shared" ref="K131:K151" si="17">IF(J131=E131,1,0)</f>
        <v>1</v>
      </c>
    </row>
    <row r="132" spans="1:11" x14ac:dyDescent="0.3">
      <c r="A132">
        <v>7.4</v>
      </c>
      <c r="B132">
        <v>2.8</v>
      </c>
      <c r="C132">
        <v>6.1</v>
      </c>
      <c r="D132">
        <v>1.9</v>
      </c>
      <c r="E132" t="s">
        <v>7</v>
      </c>
      <c r="F132">
        <f t="shared" si="12"/>
        <v>1.2823330563636743E-217</v>
      </c>
      <c r="G132">
        <f t="shared" si="13"/>
        <v>6.8693389219197992E-8</v>
      </c>
      <c r="H132">
        <f t="shared" si="14"/>
        <v>5.6561126631069943E-2</v>
      </c>
      <c r="I132">
        <f t="shared" si="15"/>
        <v>5.6561126631069943E-2</v>
      </c>
      <c r="J132" t="str">
        <f t="shared" si="16"/>
        <v>Iris-virginica</v>
      </c>
      <c r="K132">
        <f t="shared" si="17"/>
        <v>1</v>
      </c>
    </row>
    <row r="133" spans="1:11" x14ac:dyDescent="0.3">
      <c r="A133">
        <v>7.9</v>
      </c>
      <c r="B133">
        <v>3.8</v>
      </c>
      <c r="C133">
        <v>6.4</v>
      </c>
      <c r="D133">
        <v>2</v>
      </c>
      <c r="E133" t="s">
        <v>7</v>
      </c>
      <c r="F133">
        <f t="shared" si="12"/>
        <v>4.8080103047917576E-249</v>
      </c>
      <c r="G133">
        <f t="shared" si="13"/>
        <v>1.7190549702522908E-13</v>
      </c>
      <c r="H133">
        <f t="shared" si="14"/>
        <v>3.6819343271348359E-4</v>
      </c>
      <c r="I133">
        <f t="shared" si="15"/>
        <v>3.6819343271348359E-4</v>
      </c>
      <c r="J133" t="str">
        <f t="shared" si="16"/>
        <v>Iris-virginica</v>
      </c>
      <c r="K133">
        <f t="shared" si="17"/>
        <v>1</v>
      </c>
    </row>
    <row r="134" spans="1:11" x14ac:dyDescent="0.3">
      <c r="A134">
        <v>6.4</v>
      </c>
      <c r="B134">
        <v>2.8</v>
      </c>
      <c r="C134">
        <v>5.6</v>
      </c>
      <c r="D134">
        <v>2.2000000000000002</v>
      </c>
      <c r="E134" t="s">
        <v>7</v>
      </c>
      <c r="F134">
        <f t="shared" si="12"/>
        <v>7.7874055142219883E-200</v>
      </c>
      <c r="G134">
        <f t="shared" si="13"/>
        <v>3.6284938874987657E-7</v>
      </c>
      <c r="H134">
        <f t="shared" si="14"/>
        <v>0.18139568141563425</v>
      </c>
      <c r="I134">
        <f t="shared" si="15"/>
        <v>0.18139568141563425</v>
      </c>
      <c r="J134" t="str">
        <f t="shared" si="16"/>
        <v>Iris-virginica</v>
      </c>
      <c r="K134">
        <f t="shared" si="17"/>
        <v>1</v>
      </c>
    </row>
    <row r="135" spans="1:11" x14ac:dyDescent="0.3">
      <c r="A135">
        <v>6.3</v>
      </c>
      <c r="B135">
        <v>2.8</v>
      </c>
      <c r="C135">
        <v>5.0999999999999996</v>
      </c>
      <c r="D135">
        <v>1.5</v>
      </c>
      <c r="E135" t="s">
        <v>7</v>
      </c>
      <c r="F135">
        <f t="shared" si="12"/>
        <v>7.3715397210812673E-129</v>
      </c>
      <c r="G135">
        <f t="shared" si="13"/>
        <v>5.9239213593151097E-2</v>
      </c>
      <c r="H135">
        <f t="shared" si="14"/>
        <v>2.3974220434893473E-2</v>
      </c>
      <c r="I135">
        <f t="shared" si="15"/>
        <v>5.9239213593151097E-2</v>
      </c>
      <c r="J135" t="str">
        <f t="shared" si="16"/>
        <v>Iris-versicolor</v>
      </c>
      <c r="K135">
        <f t="shared" si="17"/>
        <v>0</v>
      </c>
    </row>
    <row r="136" spans="1:11" x14ac:dyDescent="0.3">
      <c r="A136">
        <v>6.1</v>
      </c>
      <c r="B136">
        <v>2.6</v>
      </c>
      <c r="C136">
        <v>5.6</v>
      </c>
      <c r="D136">
        <v>1.4</v>
      </c>
      <c r="E136" t="s">
        <v>7</v>
      </c>
      <c r="F136">
        <f t="shared" si="12"/>
        <v>6.3223205083278984E-152</v>
      </c>
      <c r="G136">
        <f t="shared" si="13"/>
        <v>7.2903587268393077E-3</v>
      </c>
      <c r="H136">
        <f t="shared" si="14"/>
        <v>7.5849123681924176E-3</v>
      </c>
      <c r="I136">
        <f t="shared" si="15"/>
        <v>7.5849123681924176E-3</v>
      </c>
      <c r="J136" t="str">
        <f t="shared" si="16"/>
        <v>Iris-virginica</v>
      </c>
      <c r="K136">
        <f t="shared" si="17"/>
        <v>1</v>
      </c>
    </row>
    <row r="137" spans="1:11" x14ac:dyDescent="0.3">
      <c r="A137">
        <v>7.7</v>
      </c>
      <c r="B137">
        <v>3</v>
      </c>
      <c r="C137">
        <v>6.1</v>
      </c>
      <c r="D137">
        <v>2.2999999999999998</v>
      </c>
      <c r="E137" t="s">
        <v>7</v>
      </c>
      <c r="F137">
        <f t="shared" si="12"/>
        <v>4.997829196629849E-248</v>
      </c>
      <c r="G137">
        <f t="shared" si="13"/>
        <v>3.1239651652274202E-12</v>
      </c>
      <c r="H137">
        <f t="shared" si="14"/>
        <v>2.1573599741290101E-2</v>
      </c>
      <c r="I137">
        <f t="shared" si="15"/>
        <v>2.1573599741290101E-2</v>
      </c>
      <c r="J137" t="str">
        <f t="shared" si="16"/>
        <v>Iris-virginica</v>
      </c>
      <c r="K137">
        <f t="shared" si="17"/>
        <v>1</v>
      </c>
    </row>
    <row r="138" spans="1:11" x14ac:dyDescent="0.3">
      <c r="A138">
        <v>6.3</v>
      </c>
      <c r="B138">
        <v>3.4</v>
      </c>
      <c r="C138">
        <v>5.6</v>
      </c>
      <c r="D138">
        <v>2.4</v>
      </c>
      <c r="E138" t="s">
        <v>7</v>
      </c>
      <c r="F138">
        <f t="shared" si="12"/>
        <v>2.4819987933674995E-214</v>
      </c>
      <c r="G138">
        <f t="shared" si="13"/>
        <v>3.895666966502035E-10</v>
      </c>
      <c r="H138">
        <f t="shared" si="14"/>
        <v>3.998280165830384E-2</v>
      </c>
      <c r="I138">
        <f t="shared" si="15"/>
        <v>3.998280165830384E-2</v>
      </c>
      <c r="J138" t="str">
        <f t="shared" si="16"/>
        <v>Iris-virginica</v>
      </c>
      <c r="K138">
        <f t="shared" si="17"/>
        <v>1</v>
      </c>
    </row>
    <row r="139" spans="1:11" x14ac:dyDescent="0.3">
      <c r="A139">
        <v>6.4</v>
      </c>
      <c r="B139">
        <v>3.1</v>
      </c>
      <c r="C139">
        <v>5.5</v>
      </c>
      <c r="D139">
        <v>1.8</v>
      </c>
      <c r="E139" t="s">
        <v>7</v>
      </c>
      <c r="F139">
        <f t="shared" si="12"/>
        <v>5.5681532666539109E-167</v>
      </c>
      <c r="G139">
        <f t="shared" si="13"/>
        <v>3.709606068419887E-4</v>
      </c>
      <c r="H139">
        <f t="shared" si="14"/>
        <v>0.16925066318811774</v>
      </c>
      <c r="I139">
        <f t="shared" si="15"/>
        <v>0.16925066318811774</v>
      </c>
      <c r="J139" t="str">
        <f t="shared" si="16"/>
        <v>Iris-virginica</v>
      </c>
      <c r="K139">
        <f t="shared" si="17"/>
        <v>1</v>
      </c>
    </row>
    <row r="140" spans="1:11" x14ac:dyDescent="0.3">
      <c r="A140">
        <v>6</v>
      </c>
      <c r="B140">
        <v>3</v>
      </c>
      <c r="C140">
        <v>4.8</v>
      </c>
      <c r="D140">
        <v>1.8</v>
      </c>
      <c r="E140" t="s">
        <v>7</v>
      </c>
      <c r="F140">
        <f t="shared" si="12"/>
        <v>3.3540153735935777E-128</v>
      </c>
      <c r="G140">
        <f t="shared" si="13"/>
        <v>1.2309731113862701E-2</v>
      </c>
      <c r="H140">
        <f t="shared" si="14"/>
        <v>4.9242178107732404E-2</v>
      </c>
      <c r="I140">
        <f t="shared" si="15"/>
        <v>4.9242178107732404E-2</v>
      </c>
      <c r="J140" t="str">
        <f t="shared" si="16"/>
        <v>Iris-virginica</v>
      </c>
      <c r="K140">
        <f t="shared" si="17"/>
        <v>1</v>
      </c>
    </row>
    <row r="141" spans="1:11" x14ac:dyDescent="0.3">
      <c r="A141">
        <v>6.9</v>
      </c>
      <c r="B141">
        <v>3.1</v>
      </c>
      <c r="C141">
        <v>5.4</v>
      </c>
      <c r="D141">
        <v>2.1</v>
      </c>
      <c r="E141" t="s">
        <v>7</v>
      </c>
      <c r="F141">
        <f t="shared" si="12"/>
        <v>1.9240923493868573E-183</v>
      </c>
      <c r="G141">
        <f t="shared" si="13"/>
        <v>1.3883350588624382E-6</v>
      </c>
      <c r="H141">
        <f t="shared" si="14"/>
        <v>0.20509672699008313</v>
      </c>
      <c r="I141">
        <f t="shared" si="15"/>
        <v>0.20509672699008313</v>
      </c>
      <c r="J141" t="str">
        <f t="shared" si="16"/>
        <v>Iris-virginica</v>
      </c>
      <c r="K141">
        <f t="shared" si="17"/>
        <v>1</v>
      </c>
    </row>
    <row r="142" spans="1:11" x14ac:dyDescent="0.3">
      <c r="A142">
        <v>6.7</v>
      </c>
      <c r="B142">
        <v>3.1</v>
      </c>
      <c r="C142">
        <v>5.6</v>
      </c>
      <c r="D142">
        <v>2.4</v>
      </c>
      <c r="E142" t="s">
        <v>7</v>
      </c>
      <c r="F142">
        <f t="shared" si="12"/>
        <v>1.4295800181667086E-216</v>
      </c>
      <c r="G142">
        <f t="shared" si="13"/>
        <v>7.2102617955630857E-10</v>
      </c>
      <c r="H142">
        <f t="shared" si="14"/>
        <v>9.6701299177725103E-2</v>
      </c>
      <c r="I142">
        <f t="shared" si="15"/>
        <v>9.6701299177725103E-2</v>
      </c>
      <c r="J142" t="str">
        <f t="shared" si="16"/>
        <v>Iris-virginica</v>
      </c>
      <c r="K142">
        <f t="shared" si="17"/>
        <v>1</v>
      </c>
    </row>
    <row r="143" spans="1:11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  <c r="F143">
        <f t="shared" si="12"/>
        <v>7.7129709166287863E-182</v>
      </c>
      <c r="G143">
        <f t="shared" si="13"/>
        <v>6.1006561887839402E-8</v>
      </c>
      <c r="H143">
        <f t="shared" si="14"/>
        <v>9.6032993292803764E-2</v>
      </c>
      <c r="I143">
        <f t="shared" si="15"/>
        <v>9.6032993292803764E-2</v>
      </c>
      <c r="J143" t="str">
        <f t="shared" si="16"/>
        <v>Iris-virginica</v>
      </c>
      <c r="K143">
        <f t="shared" si="17"/>
        <v>1</v>
      </c>
    </row>
    <row r="144" spans="1:11" x14ac:dyDescent="0.3">
      <c r="A144">
        <v>5.8</v>
      </c>
      <c r="B144">
        <v>2.7</v>
      </c>
      <c r="C144">
        <v>5.0999999999999996</v>
      </c>
      <c r="D144">
        <v>1.9</v>
      </c>
      <c r="E144" t="s">
        <v>7</v>
      </c>
      <c r="F144">
        <f t="shared" si="12"/>
        <v>3.064841623019023E-149</v>
      </c>
      <c r="G144">
        <f t="shared" si="13"/>
        <v>1.5678772429753981E-3</v>
      </c>
      <c r="H144">
        <f t="shared" si="14"/>
        <v>5.5981444293868199E-2</v>
      </c>
      <c r="I144">
        <f t="shared" si="15"/>
        <v>5.5981444293868199E-2</v>
      </c>
      <c r="J144" t="str">
        <f t="shared" si="16"/>
        <v>Iris-virginica</v>
      </c>
      <c r="K144">
        <f t="shared" si="17"/>
        <v>1</v>
      </c>
    </row>
    <row r="145" spans="1:11" x14ac:dyDescent="0.3">
      <c r="A145">
        <v>6.8</v>
      </c>
      <c r="B145">
        <v>3.2</v>
      </c>
      <c r="C145">
        <v>5.9</v>
      </c>
      <c r="D145">
        <v>2.2999999999999998</v>
      </c>
      <c r="E145" t="s">
        <v>7</v>
      </c>
      <c r="F145">
        <f t="shared" si="12"/>
        <v>1.0840021564750925E-227</v>
      </c>
      <c r="G145">
        <f t="shared" si="13"/>
        <v>6.542303957973583E-10</v>
      </c>
      <c r="H145">
        <f t="shared" si="14"/>
        <v>9.9170661998567194E-2</v>
      </c>
      <c r="I145">
        <f t="shared" si="15"/>
        <v>9.9170661998567194E-2</v>
      </c>
      <c r="J145" t="str">
        <f t="shared" si="16"/>
        <v>Iris-virginica</v>
      </c>
      <c r="K145">
        <f t="shared" si="17"/>
        <v>1</v>
      </c>
    </row>
    <row r="146" spans="1:11" x14ac:dyDescent="0.3">
      <c r="A146">
        <v>6.7</v>
      </c>
      <c r="B146">
        <v>3.3</v>
      </c>
      <c r="C146">
        <v>5.7</v>
      </c>
      <c r="D146">
        <v>2.5</v>
      </c>
      <c r="E146" t="s">
        <v>7</v>
      </c>
      <c r="F146">
        <f t="shared" si="12"/>
        <v>8.1620837693024257E-231</v>
      </c>
      <c r="G146">
        <f t="shared" si="13"/>
        <v>9.0575157597426071E-12</v>
      </c>
      <c r="H146">
        <f t="shared" si="14"/>
        <v>3.4562285664726439E-2</v>
      </c>
      <c r="I146">
        <f t="shared" si="15"/>
        <v>3.4562285664726439E-2</v>
      </c>
      <c r="J146" t="str">
        <f t="shared" si="16"/>
        <v>Iris-virginica</v>
      </c>
      <c r="K146">
        <f t="shared" si="17"/>
        <v>1</v>
      </c>
    </row>
    <row r="147" spans="1:11" x14ac:dyDescent="0.3">
      <c r="A147">
        <v>6.7</v>
      </c>
      <c r="B147">
        <v>3</v>
      </c>
      <c r="C147">
        <v>5.2</v>
      </c>
      <c r="D147">
        <v>2.2999999999999998</v>
      </c>
      <c r="E147" t="s">
        <v>7</v>
      </c>
      <c r="F147">
        <f t="shared" si="12"/>
        <v>5.1766488459162856E-186</v>
      </c>
      <c r="G147">
        <f t="shared" si="13"/>
        <v>1.0363270930422873E-7</v>
      </c>
      <c r="H147">
        <f t="shared" si="14"/>
        <v>0.13092295749951963</v>
      </c>
      <c r="I147">
        <f t="shared" si="15"/>
        <v>0.13092295749951963</v>
      </c>
      <c r="J147" t="str">
        <f t="shared" si="16"/>
        <v>Iris-virginica</v>
      </c>
      <c r="K147">
        <f t="shared" si="17"/>
        <v>1</v>
      </c>
    </row>
    <row r="148" spans="1:11" x14ac:dyDescent="0.3">
      <c r="A148">
        <v>6.3</v>
      </c>
      <c r="B148">
        <v>2.5</v>
      </c>
      <c r="C148">
        <v>5</v>
      </c>
      <c r="D148">
        <v>1.9</v>
      </c>
      <c r="E148" t="s">
        <v>7</v>
      </c>
      <c r="F148">
        <f t="shared" si="12"/>
        <v>2.2151435357920592E-146</v>
      </c>
      <c r="G148">
        <f t="shared" si="13"/>
        <v>1.2817974051130482E-3</v>
      </c>
      <c r="H148">
        <f t="shared" si="14"/>
        <v>4.4982872431887068E-2</v>
      </c>
      <c r="I148">
        <f t="shared" si="15"/>
        <v>4.4982872431887068E-2</v>
      </c>
      <c r="J148" t="str">
        <f t="shared" si="16"/>
        <v>Iris-virginica</v>
      </c>
      <c r="K148">
        <f t="shared" si="17"/>
        <v>1</v>
      </c>
    </row>
    <row r="149" spans="1:11" x14ac:dyDescent="0.3">
      <c r="A149">
        <v>6.5</v>
      </c>
      <c r="B149">
        <v>3</v>
      </c>
      <c r="C149">
        <v>5.2</v>
      </c>
      <c r="D149">
        <v>2</v>
      </c>
      <c r="E149" t="s">
        <v>7</v>
      </c>
      <c r="F149">
        <f t="shared" si="12"/>
        <v>2.7148617720613423E-163</v>
      </c>
      <c r="G149">
        <f t="shared" si="13"/>
        <v>9.4897367059486779E-5</v>
      </c>
      <c r="H149">
        <f t="shared" si="14"/>
        <v>0.21565927434012749</v>
      </c>
      <c r="I149">
        <f t="shared" si="15"/>
        <v>0.21565927434012749</v>
      </c>
      <c r="J149" t="str">
        <f t="shared" si="16"/>
        <v>Iris-virginica</v>
      </c>
      <c r="K149">
        <f t="shared" si="17"/>
        <v>1</v>
      </c>
    </row>
    <row r="150" spans="1:11" x14ac:dyDescent="0.3">
      <c r="A150">
        <v>6.2</v>
      </c>
      <c r="B150">
        <v>3.4</v>
      </c>
      <c r="C150">
        <v>5.4</v>
      </c>
      <c r="D150">
        <v>2.2999999999999998</v>
      </c>
      <c r="E150" t="s">
        <v>7</v>
      </c>
      <c r="F150">
        <f t="shared" si="12"/>
        <v>2.6998554323426467E-194</v>
      </c>
      <c r="G150">
        <f t="shared" si="13"/>
        <v>1.8481207475005987E-8</v>
      </c>
      <c r="H150">
        <f t="shared" si="14"/>
        <v>5.4610964568682717E-2</v>
      </c>
      <c r="I150">
        <f t="shared" si="15"/>
        <v>5.4610964568682717E-2</v>
      </c>
      <c r="J150" t="str">
        <f t="shared" si="16"/>
        <v>Iris-virginica</v>
      </c>
      <c r="K150">
        <f t="shared" si="17"/>
        <v>1</v>
      </c>
    </row>
    <row r="151" spans="1:11" x14ac:dyDescent="0.3">
      <c r="A151">
        <v>5.9</v>
      </c>
      <c r="B151">
        <v>3</v>
      </c>
      <c r="C151">
        <v>5.0999999999999996</v>
      </c>
      <c r="D151">
        <v>1.8</v>
      </c>
      <c r="E151" t="s">
        <v>7</v>
      </c>
      <c r="F151">
        <f t="shared" si="12"/>
        <v>5.8801310108024643E-143</v>
      </c>
      <c r="G151">
        <f t="shared" si="13"/>
        <v>4.84629271659851E-3</v>
      </c>
      <c r="H151">
        <f t="shared" si="14"/>
        <v>7.6088430129869877E-2</v>
      </c>
      <c r="I151">
        <f t="shared" si="15"/>
        <v>7.6088430129869877E-2</v>
      </c>
      <c r="J151" t="str">
        <f t="shared" si="16"/>
        <v>Iris-virginica</v>
      </c>
      <c r="K151">
        <f t="shared" si="17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Gandhi</dc:creator>
  <cp:lastModifiedBy>Vansh Gandhi</cp:lastModifiedBy>
  <dcterms:created xsi:type="dcterms:W3CDTF">2021-10-29T13:23:32Z</dcterms:created>
  <dcterms:modified xsi:type="dcterms:W3CDTF">2021-10-29T13:23:32Z</dcterms:modified>
</cp:coreProperties>
</file>