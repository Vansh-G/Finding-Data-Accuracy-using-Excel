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V:\UniStuff\SEM3\MU\"/>
    </mc:Choice>
  </mc:AlternateContent>
  <xr:revisionPtr revIDLastSave="0" documentId="13_ncr:1_{67AB301E-85C5-4FC7-8CD6-0DBCBBE63A13}" xr6:coauthVersionLast="47" xr6:coauthVersionMax="47" xr10:uidLastSave="{00000000-0000-0000-0000-000000000000}"/>
  <bookViews>
    <workbookView xWindow="-108" yWindow="-108" windowWidth="23256" windowHeight="12576" xr2:uid="{81180973-B06E-4F41-A4C9-C99D6F1F9D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H16" i="1"/>
  <c r="F12" i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  <c r="Q16" i="1"/>
  <c r="Q17" i="1"/>
  <c r="Q18" i="1"/>
  <c r="Q19" i="1"/>
  <c r="Q20" i="1"/>
  <c r="Q21" i="1"/>
  <c r="Q22" i="1"/>
  <c r="Q15" i="1"/>
  <c r="P15" i="1"/>
  <c r="P16" i="1"/>
  <c r="P17" i="1"/>
  <c r="P18" i="1"/>
  <c r="P19" i="1"/>
  <c r="P20" i="1"/>
  <c r="P21" i="1"/>
  <c r="P22" i="1"/>
  <c r="O16" i="1"/>
  <c r="O17" i="1"/>
  <c r="O18" i="1"/>
  <c r="O19" i="1"/>
  <c r="O20" i="1"/>
  <c r="O21" i="1"/>
  <c r="O22" i="1"/>
  <c r="O15" i="1"/>
  <c r="N16" i="1"/>
  <c r="N17" i="1"/>
  <c r="N18" i="1"/>
  <c r="N19" i="1"/>
  <c r="N20" i="1"/>
  <c r="N21" i="1"/>
  <c r="N22" i="1"/>
  <c r="N15" i="1"/>
  <c r="M16" i="1"/>
  <c r="M17" i="1"/>
  <c r="M18" i="1"/>
  <c r="M19" i="1"/>
  <c r="M20" i="1"/>
  <c r="M21" i="1"/>
  <c r="M22" i="1"/>
  <c r="M15" i="1"/>
  <c r="F3" i="1"/>
  <c r="H3" i="1" s="1"/>
  <c r="F4" i="1"/>
  <c r="F5" i="1"/>
  <c r="F6" i="1"/>
  <c r="F7" i="1"/>
  <c r="F8" i="1"/>
  <c r="F9" i="1"/>
  <c r="K16" i="1"/>
  <c r="K17" i="1"/>
  <c r="K18" i="1"/>
  <c r="K19" i="1"/>
  <c r="K20" i="1"/>
  <c r="K21" i="1"/>
  <c r="K22" i="1"/>
  <c r="K15" i="1"/>
  <c r="J16" i="1"/>
  <c r="J17" i="1"/>
  <c r="J18" i="1"/>
  <c r="J19" i="1"/>
  <c r="J20" i="1"/>
  <c r="J21" i="1"/>
  <c r="J22" i="1"/>
  <c r="J15" i="1"/>
  <c r="I16" i="1"/>
  <c r="I17" i="1"/>
  <c r="I18" i="1"/>
  <c r="I19" i="1"/>
  <c r="I20" i="1"/>
  <c r="I21" i="1"/>
  <c r="I22" i="1"/>
  <c r="I15" i="1"/>
  <c r="H17" i="1"/>
  <c r="H18" i="1"/>
  <c r="H19" i="1"/>
  <c r="H20" i="1"/>
  <c r="H21" i="1"/>
  <c r="H22" i="1"/>
  <c r="H15" i="1"/>
  <c r="G16" i="1"/>
  <c r="G17" i="1"/>
  <c r="G18" i="1"/>
  <c r="G19" i="1"/>
  <c r="G20" i="1"/>
  <c r="G21" i="1"/>
  <c r="G22" i="1"/>
  <c r="G15" i="1"/>
</calcChain>
</file>

<file path=xl/sharedStrings.xml><?xml version="1.0" encoding="utf-8"?>
<sst xmlns="http://schemas.openxmlformats.org/spreadsheetml/2006/main" count="81" uniqueCount="30">
  <si>
    <t>Caugh</t>
  </si>
  <si>
    <t>Runny nose</t>
  </si>
  <si>
    <t>Headache</t>
  </si>
  <si>
    <t>Fever</t>
  </si>
  <si>
    <t>COVID19</t>
  </si>
  <si>
    <t>Y</t>
  </si>
  <si>
    <t>N</t>
  </si>
  <si>
    <t>P(Y/YES)</t>
  </si>
  <si>
    <t>P(Y/NO)</t>
  </si>
  <si>
    <t>P(N/YES)</t>
  </si>
  <si>
    <t>P(N/NO)</t>
  </si>
  <si>
    <t>Runny Nose</t>
  </si>
  <si>
    <t>Headche</t>
  </si>
  <si>
    <t>P(MILD/YES)</t>
  </si>
  <si>
    <t>P(MILD/NO)</t>
  </si>
  <si>
    <t>P(NO/YES)</t>
  </si>
  <si>
    <t>P(NO/NO)</t>
  </si>
  <si>
    <t>P(STRONG/YES)</t>
  </si>
  <si>
    <t>P(STRONG/NO)</t>
  </si>
  <si>
    <t>P(Y/Info)</t>
  </si>
  <si>
    <t>Prediction</t>
  </si>
  <si>
    <t>P(N/Info)</t>
  </si>
  <si>
    <t>P(YES)</t>
  </si>
  <si>
    <t>P(NO)</t>
  </si>
  <si>
    <t>MILD</t>
  </si>
  <si>
    <t>NO</t>
  </si>
  <si>
    <t>STRONG</t>
  </si>
  <si>
    <t>level</t>
  </si>
  <si>
    <t>Accuracy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</si>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</sst>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164" fontId="0" fillId="0" borderId="1" xfId="0" applyNumberFormat="1" applyBorder="1"/>
    <xf numFmtId="164" fontId="1" fillId="0" borderId="1" xfId="0" applyNumberFormat="1" applyFont="1" applyBorder="1" applyAlignment="1">
      <alignment vertical="center" wrapText="1"/>
    </xf>
    <xf numFmtId="164" fontId="1" fillId="0" borderId="1" xfId="0" applyNumberFormat="1" applyFont="1" applyFill="1" applyBorder="1" applyAlignment="1">
      <alignment vertical="center" wrapText="1"/>
    </xf>
    <xf numFmtId="164" fontId="0" fillId="0" borderId="0" xfId="0" applyNumberFormat="1"/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16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49939-8519-47CC-A284-70E4215F616E}">
  <sheetPr codeName="Sheet1"/>
  <dimension ref="A1:Q30"/>
  <sheetViews>
    <sheetView tabSelected="1" zoomScale="65" zoomScaleNormal="65" workbookViewId="0">
      <selection activeCell="L31" sqref="L31"/>
    </sheetView>
  </sheetViews>
  <sheetFormatPr defaultRowHeight="14.4" x14ac:dyDescent="0.3"/>
  <cols>
    <col min="1" max="1" width="18.5546875" style="5" customWidth="1"/>
    <col min="2" max="2" width="16.33203125" style="5" customWidth="1"/>
    <col min="3" max="3" width="11.44140625" style="5" customWidth="1"/>
    <col min="4" max="4" width="13.33203125" style="5" customWidth="1"/>
    <col min="5" max="5" width="13.44140625" style="5" customWidth="1"/>
    <col min="6" max="6" width="8.88671875" style="5"/>
    <col min="7" max="7" width="11.88671875" style="5" bestFit="1" customWidth="1"/>
    <col min="8" max="8" width="10.6640625" style="5" customWidth="1"/>
    <col min="9" max="9" width="11.6640625" style="5" bestFit="1" customWidth="1"/>
    <col min="10" max="10" width="12.44140625" style="5" customWidth="1"/>
    <col min="11" max="16384" width="8.88671875" style="5"/>
  </cols>
  <sheetData>
    <row r="1" spans="1:17" ht="16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19</v>
      </c>
      <c r="G1" s="4" t="s">
        <v>21</v>
      </c>
      <c r="H1" s="4" t="s">
        <v>20</v>
      </c>
    </row>
    <row r="2" spans="1:17" ht="16.8" x14ac:dyDescent="0.3">
      <c r="A2" s="1" t="s">
        <v>5</v>
      </c>
      <c r="B2" s="1" t="s">
        <v>6</v>
      </c>
      <c r="C2" s="1" t="s">
        <v>24</v>
      </c>
      <c r="D2" s="1" t="s">
        <v>5</v>
      </c>
      <c r="E2" s="7" t="s">
        <v>6</v>
      </c>
      <c r="F2" s="2">
        <f>G15*H15*I15*J15*K15</f>
        <v>2.4000000000000007E-2</v>
      </c>
      <c r="G2" s="2">
        <f>M15*N15*O15*P15*Q15</f>
        <v>9.2592592592592587E-3</v>
      </c>
      <c r="H2" s="2" t="str">
        <f>IF(F2&gt;G2,"Y","N")</f>
        <v>Y</v>
      </c>
      <c r="J2" s="5" t="s">
        <v>27</v>
      </c>
      <c r="K2" s="5" t="s">
        <v>5</v>
      </c>
      <c r="L2" s="5" t="s">
        <v>6</v>
      </c>
    </row>
    <row r="3" spans="1:17" ht="16.8" x14ac:dyDescent="0.3">
      <c r="A3" s="1" t="s">
        <v>5</v>
      </c>
      <c r="B3" s="1" t="s">
        <v>5</v>
      </c>
      <c r="C3" s="1" t="s">
        <v>25</v>
      </c>
      <c r="D3" s="1" t="s">
        <v>6</v>
      </c>
      <c r="E3" s="6" t="s">
        <v>5</v>
      </c>
      <c r="F3" s="2">
        <f t="shared" ref="F3:F9" si="0">G16*H16*I16*J16*K16</f>
        <v>1.2000000000000004E-2</v>
      </c>
      <c r="G3" s="2">
        <f t="shared" ref="G3:G9" si="1">M16*N16*O16*P16*Q16</f>
        <v>9.2592592592592587E-3</v>
      </c>
      <c r="H3" s="2" t="str">
        <f t="shared" ref="H3:H9" si="2">IF(F3&gt;G3,"Y","N")</f>
        <v>Y</v>
      </c>
      <c r="J3" s="5" t="s">
        <v>27</v>
      </c>
      <c r="K3" s="5" t="s">
        <v>24</v>
      </c>
      <c r="L3" s="5" t="s">
        <v>25</v>
      </c>
      <c r="M3" s="5" t="s">
        <v>26</v>
      </c>
    </row>
    <row r="4" spans="1:17" ht="16.8" x14ac:dyDescent="0.3">
      <c r="A4" s="1" t="s">
        <v>5</v>
      </c>
      <c r="B4" s="1" t="s">
        <v>6</v>
      </c>
      <c r="C4" s="1" t="s">
        <v>26</v>
      </c>
      <c r="D4" s="1" t="s">
        <v>5</v>
      </c>
      <c r="E4" s="6" t="s">
        <v>5</v>
      </c>
      <c r="F4" s="2">
        <f t="shared" si="0"/>
        <v>2.4000000000000007E-2</v>
      </c>
      <c r="G4" s="2">
        <f t="shared" si="1"/>
        <v>9.2592592592592587E-3</v>
      </c>
      <c r="H4" s="2" t="str">
        <f t="shared" si="2"/>
        <v>Y</v>
      </c>
    </row>
    <row r="5" spans="1:17" ht="16.8" x14ac:dyDescent="0.3">
      <c r="A5" s="1" t="s">
        <v>6</v>
      </c>
      <c r="B5" s="1" t="s">
        <v>5</v>
      </c>
      <c r="C5" s="1" t="s">
        <v>24</v>
      </c>
      <c r="D5" s="1" t="s">
        <v>5</v>
      </c>
      <c r="E5" s="6" t="s">
        <v>5</v>
      </c>
      <c r="F5" s="2">
        <f t="shared" si="0"/>
        <v>6.4000000000000015E-2</v>
      </c>
      <c r="G5" s="2">
        <f t="shared" si="1"/>
        <v>3.7037037037037035E-2</v>
      </c>
      <c r="H5" s="2" t="str">
        <f t="shared" si="2"/>
        <v>Y</v>
      </c>
    </row>
    <row r="6" spans="1:17" ht="16.8" x14ac:dyDescent="0.3">
      <c r="A6" s="1" t="s">
        <v>6</v>
      </c>
      <c r="B6" s="1" t="s">
        <v>6</v>
      </c>
      <c r="C6" s="1" t="s">
        <v>25</v>
      </c>
      <c r="D6" s="1" t="s">
        <v>6</v>
      </c>
      <c r="E6" s="7" t="s">
        <v>6</v>
      </c>
      <c r="F6" s="2">
        <f t="shared" si="0"/>
        <v>2.0000000000000005E-3</v>
      </c>
      <c r="G6" s="2">
        <f t="shared" si="1"/>
        <v>9.2592592592592587E-3</v>
      </c>
      <c r="H6" s="2" t="str">
        <f t="shared" si="2"/>
        <v>N</v>
      </c>
    </row>
    <row r="7" spans="1:17" ht="16.8" x14ac:dyDescent="0.3">
      <c r="A7" s="1" t="s">
        <v>6</v>
      </c>
      <c r="B7" s="1" t="s">
        <v>5</v>
      </c>
      <c r="C7" s="1" t="s">
        <v>26</v>
      </c>
      <c r="D7" s="1" t="s">
        <v>5</v>
      </c>
      <c r="E7" s="6" t="s">
        <v>5</v>
      </c>
      <c r="F7" s="2">
        <f t="shared" si="0"/>
        <v>6.4000000000000015E-2</v>
      </c>
      <c r="G7" s="2">
        <f t="shared" si="1"/>
        <v>3.7037037037037035E-2</v>
      </c>
      <c r="H7" s="2" t="str">
        <f t="shared" si="2"/>
        <v>Y</v>
      </c>
    </row>
    <row r="8" spans="1:17" ht="16.8" x14ac:dyDescent="0.3">
      <c r="A8" s="1" t="s">
        <v>6</v>
      </c>
      <c r="B8" s="1" t="s">
        <v>5</v>
      </c>
      <c r="C8" s="1" t="s">
        <v>26</v>
      </c>
      <c r="D8" s="1" t="s">
        <v>6</v>
      </c>
      <c r="E8" s="7" t="s">
        <v>6</v>
      </c>
      <c r="F8" s="2">
        <f t="shared" si="0"/>
        <v>1.6000000000000004E-2</v>
      </c>
      <c r="G8" s="2">
        <f t="shared" si="1"/>
        <v>1.8518518518518517E-2</v>
      </c>
      <c r="H8" s="2" t="str">
        <f t="shared" si="2"/>
        <v>N</v>
      </c>
    </row>
    <row r="9" spans="1:17" ht="16.8" x14ac:dyDescent="0.3">
      <c r="A9" s="1" t="s">
        <v>5</v>
      </c>
      <c r="B9" s="1" t="s">
        <v>5</v>
      </c>
      <c r="C9" s="1" t="s">
        <v>24</v>
      </c>
      <c r="D9" s="1" t="s">
        <v>5</v>
      </c>
      <c r="E9" s="6" t="s">
        <v>5</v>
      </c>
      <c r="F9" s="2">
        <f t="shared" si="0"/>
        <v>9.600000000000003E-2</v>
      </c>
      <c r="G9" s="2">
        <f t="shared" si="1"/>
        <v>1.8518518518518517E-2</v>
      </c>
      <c r="H9" s="2" t="str">
        <f t="shared" si="2"/>
        <v>Y</v>
      </c>
    </row>
    <row r="12" spans="1:17" x14ac:dyDescent="0.3">
      <c r="A12" s="2" t="s">
        <v>22</v>
      </c>
      <c r="B12" s="2">
        <v>0.625</v>
      </c>
      <c r="E12" s="9" t="s">
        <v>28</v>
      </c>
      <c r="F12" s="9">
        <f>7/8</f>
        <v>0.875</v>
      </c>
    </row>
    <row r="13" spans="1:17" x14ac:dyDescent="0.3">
      <c r="A13" s="2" t="s">
        <v>23</v>
      </c>
      <c r="B13" s="2">
        <v>0.375</v>
      </c>
      <c r="F13" s="5" t="s">
        <v>29</v>
      </c>
    </row>
    <row r="15" spans="1:17" ht="16.8" customHeight="1" x14ac:dyDescent="0.3">
      <c r="A15" s="3" t="s">
        <v>0</v>
      </c>
      <c r="B15" s="3"/>
      <c r="C15" s="3"/>
      <c r="D15" s="3"/>
      <c r="G15" s="5">
        <f>$B$12</f>
        <v>0.625</v>
      </c>
      <c r="H15" s="5">
        <f>IF(A2=$K$2,$B$16,$B$17)</f>
        <v>0.6</v>
      </c>
      <c r="I15" s="5">
        <f>IF(B2=$K$2,$B$20,$B$21)</f>
        <v>0.2</v>
      </c>
      <c r="J15" s="5">
        <f>IF(C2=$K$3,$B$24,IF(C2=$L$3,$B$25,IF(C2=$M$3,$B$26)))</f>
        <v>0.4</v>
      </c>
      <c r="K15" s="5">
        <f>IF(D2=$K$2,$B$29,$B$30)</f>
        <v>0.8</v>
      </c>
      <c r="M15" s="5">
        <f>$B$13</f>
        <v>0.375</v>
      </c>
      <c r="N15" s="5">
        <f>IF(A2=$K$2,$D$16,$D$17)</f>
        <v>0.33333333333333331</v>
      </c>
      <c r="O15" s="5">
        <f>IF(B2=$L$2,$D$20,$D$21)</f>
        <v>0.33333333333333331</v>
      </c>
      <c r="P15" s="5">
        <f>IF(C2=$K$3,$D$24,IF(C2=$L$3,$D$25,IF(C2=$M$3,$D$26)))</f>
        <v>0.33333333333333331</v>
      </c>
      <c r="Q15" s="5">
        <f>IF(D2=$L$2,$D$29,$D$30)</f>
        <v>0.66666666666666663</v>
      </c>
    </row>
    <row r="16" spans="1:17" ht="16.8" x14ac:dyDescent="0.3">
      <c r="A16" s="3" t="s">
        <v>7</v>
      </c>
      <c r="B16" s="3">
        <v>0.6</v>
      </c>
      <c r="C16" s="3" t="s">
        <v>8</v>
      </c>
      <c r="D16" s="3">
        <v>0.33333333333333331</v>
      </c>
      <c r="G16" s="5">
        <f t="shared" ref="G16:G22" si="3">$B$12</f>
        <v>0.625</v>
      </c>
      <c r="H16" s="5">
        <f>IF(A3=$K$2,$B$16,$B$17)</f>
        <v>0.6</v>
      </c>
      <c r="I16" s="5">
        <f t="shared" ref="I16:I22" si="4">IF(B3=$K$2,$B$20,$B$21)</f>
        <v>0.8</v>
      </c>
      <c r="J16" s="5">
        <f t="shared" ref="J16:J22" si="5">IF(C3=$K$3,$B$24,IF(C3=$L$3,$B$25,IF(C3=$M$3,$B$26)))</f>
        <v>0.2</v>
      </c>
      <c r="K16" s="5">
        <f t="shared" ref="K16:K22" si="6">IF(D3=$K$2,$B$29,$B$30)</f>
        <v>0.2</v>
      </c>
      <c r="M16" s="5">
        <f t="shared" ref="M16:M22" si="7">$B$13</f>
        <v>0.375</v>
      </c>
      <c r="N16" s="5">
        <f t="shared" ref="N16:N22" si="8">IF(A3=$K$2,$D$16,$D$17)</f>
        <v>0.33333333333333331</v>
      </c>
      <c r="O16" s="5">
        <f t="shared" ref="O16:O22" si="9">IF(B3=$L$2,$D$20,$D$21)</f>
        <v>0.66666666666666663</v>
      </c>
      <c r="P16" s="5">
        <f t="shared" ref="P16:P22" si="10">IF(C3=$K$3,$D$24,IF(C3=$L$3,$D$25,IF(C3=$M$3,$D$26)))</f>
        <v>0.33333333333333331</v>
      </c>
      <c r="Q16" s="5">
        <f t="shared" ref="Q16:Q22" si="11">IF(D3=$L$2,$D$29,$D$30)</f>
        <v>0.33333333333333331</v>
      </c>
    </row>
    <row r="17" spans="1:17" ht="16.8" x14ac:dyDescent="0.3">
      <c r="A17" s="3" t="s">
        <v>9</v>
      </c>
      <c r="B17" s="3">
        <v>0.4</v>
      </c>
      <c r="C17" s="3" t="s">
        <v>10</v>
      </c>
      <c r="D17" s="3">
        <v>0.66666666666666663</v>
      </c>
      <c r="G17" s="5">
        <f t="shared" si="3"/>
        <v>0.625</v>
      </c>
      <c r="H17" s="5">
        <f t="shared" ref="H17:H22" si="12">IF(A4=$K$2,$B$16,$B$17)</f>
        <v>0.6</v>
      </c>
      <c r="I17" s="5">
        <f t="shared" si="4"/>
        <v>0.2</v>
      </c>
      <c r="J17" s="5">
        <f t="shared" si="5"/>
        <v>0.4</v>
      </c>
      <c r="K17" s="5">
        <f t="shared" si="6"/>
        <v>0.8</v>
      </c>
      <c r="M17" s="5">
        <f t="shared" si="7"/>
        <v>0.375</v>
      </c>
      <c r="N17" s="5">
        <f t="shared" si="8"/>
        <v>0.33333333333333331</v>
      </c>
      <c r="O17" s="5">
        <f t="shared" si="9"/>
        <v>0.33333333333333331</v>
      </c>
      <c r="P17" s="5">
        <f t="shared" si="10"/>
        <v>0.33333333333333331</v>
      </c>
      <c r="Q17" s="5">
        <f t="shared" si="11"/>
        <v>0.66666666666666663</v>
      </c>
    </row>
    <row r="18" spans="1:17" ht="16.8" x14ac:dyDescent="0.3">
      <c r="A18" s="3"/>
      <c r="B18" s="3"/>
      <c r="C18" s="3"/>
      <c r="D18" s="3"/>
      <c r="G18" s="5">
        <f t="shared" si="3"/>
        <v>0.625</v>
      </c>
      <c r="H18" s="5">
        <f t="shared" si="12"/>
        <v>0.4</v>
      </c>
      <c r="I18" s="5">
        <f t="shared" si="4"/>
        <v>0.8</v>
      </c>
      <c r="J18" s="5">
        <f t="shared" si="5"/>
        <v>0.4</v>
      </c>
      <c r="K18" s="5">
        <f t="shared" si="6"/>
        <v>0.8</v>
      </c>
      <c r="M18" s="5">
        <f t="shared" si="7"/>
        <v>0.375</v>
      </c>
      <c r="N18" s="5">
        <f t="shared" si="8"/>
        <v>0.66666666666666663</v>
      </c>
      <c r="O18" s="5">
        <f t="shared" si="9"/>
        <v>0.66666666666666663</v>
      </c>
      <c r="P18" s="5">
        <f t="shared" si="10"/>
        <v>0.33333333333333331</v>
      </c>
      <c r="Q18" s="5">
        <f t="shared" si="11"/>
        <v>0.66666666666666663</v>
      </c>
    </row>
    <row r="19" spans="1:17" ht="16.8" customHeight="1" x14ac:dyDescent="0.3">
      <c r="A19" s="3" t="s">
        <v>11</v>
      </c>
      <c r="B19" s="3"/>
      <c r="C19" s="3"/>
      <c r="D19" s="3"/>
      <c r="G19" s="5">
        <f t="shared" si="3"/>
        <v>0.625</v>
      </c>
      <c r="H19" s="5">
        <f t="shared" si="12"/>
        <v>0.4</v>
      </c>
      <c r="I19" s="5">
        <f t="shared" si="4"/>
        <v>0.2</v>
      </c>
      <c r="J19" s="5">
        <f t="shared" si="5"/>
        <v>0.2</v>
      </c>
      <c r="K19" s="5">
        <f t="shared" si="6"/>
        <v>0.2</v>
      </c>
      <c r="M19" s="5">
        <f t="shared" si="7"/>
        <v>0.375</v>
      </c>
      <c r="N19" s="5">
        <f t="shared" si="8"/>
        <v>0.66666666666666663</v>
      </c>
      <c r="O19" s="5">
        <f t="shared" si="9"/>
        <v>0.33333333333333331</v>
      </c>
      <c r="P19" s="5">
        <f t="shared" si="10"/>
        <v>0.33333333333333331</v>
      </c>
      <c r="Q19" s="5">
        <f t="shared" si="11"/>
        <v>0.33333333333333331</v>
      </c>
    </row>
    <row r="20" spans="1:17" ht="16.8" x14ac:dyDescent="0.3">
      <c r="A20" s="3" t="s">
        <v>7</v>
      </c>
      <c r="B20" s="3">
        <v>0.8</v>
      </c>
      <c r="C20" s="3" t="s">
        <v>8</v>
      </c>
      <c r="D20" s="3">
        <v>0.33333333333333331</v>
      </c>
      <c r="G20" s="5">
        <f t="shared" si="3"/>
        <v>0.625</v>
      </c>
      <c r="H20" s="5">
        <f t="shared" si="12"/>
        <v>0.4</v>
      </c>
      <c r="I20" s="5">
        <f t="shared" si="4"/>
        <v>0.8</v>
      </c>
      <c r="J20" s="5">
        <f t="shared" si="5"/>
        <v>0.4</v>
      </c>
      <c r="K20" s="5">
        <f t="shared" si="6"/>
        <v>0.8</v>
      </c>
      <c r="M20" s="5">
        <f t="shared" si="7"/>
        <v>0.375</v>
      </c>
      <c r="N20" s="5">
        <f t="shared" si="8"/>
        <v>0.66666666666666663</v>
      </c>
      <c r="O20" s="5">
        <f t="shared" si="9"/>
        <v>0.66666666666666663</v>
      </c>
      <c r="P20" s="5">
        <f t="shared" si="10"/>
        <v>0.33333333333333331</v>
      </c>
      <c r="Q20" s="5">
        <f t="shared" si="11"/>
        <v>0.66666666666666663</v>
      </c>
    </row>
    <row r="21" spans="1:17" ht="16.8" x14ac:dyDescent="0.3">
      <c r="A21" s="3" t="s">
        <v>9</v>
      </c>
      <c r="B21" s="3">
        <v>0.2</v>
      </c>
      <c r="C21" s="3" t="s">
        <v>10</v>
      </c>
      <c r="D21" s="3">
        <v>0.66666666666666663</v>
      </c>
      <c r="G21" s="5">
        <f t="shared" si="3"/>
        <v>0.625</v>
      </c>
      <c r="H21" s="5">
        <f t="shared" si="12"/>
        <v>0.4</v>
      </c>
      <c r="I21" s="5">
        <f t="shared" si="4"/>
        <v>0.8</v>
      </c>
      <c r="J21" s="5">
        <f t="shared" si="5"/>
        <v>0.4</v>
      </c>
      <c r="K21" s="5">
        <f t="shared" si="6"/>
        <v>0.2</v>
      </c>
      <c r="M21" s="5">
        <f t="shared" si="7"/>
        <v>0.375</v>
      </c>
      <c r="N21" s="5">
        <f t="shared" si="8"/>
        <v>0.66666666666666663</v>
      </c>
      <c r="O21" s="5">
        <f t="shared" si="9"/>
        <v>0.66666666666666663</v>
      </c>
      <c r="P21" s="5">
        <f t="shared" si="10"/>
        <v>0.33333333333333331</v>
      </c>
      <c r="Q21" s="5">
        <f t="shared" si="11"/>
        <v>0.33333333333333331</v>
      </c>
    </row>
    <row r="22" spans="1:17" ht="16.8" x14ac:dyDescent="0.3">
      <c r="A22" s="3"/>
      <c r="B22" s="3"/>
      <c r="C22" s="3"/>
      <c r="D22" s="3"/>
      <c r="G22" s="5">
        <f t="shared" si="3"/>
        <v>0.625</v>
      </c>
      <c r="H22" s="5">
        <f t="shared" si="12"/>
        <v>0.6</v>
      </c>
      <c r="I22" s="5">
        <f t="shared" si="4"/>
        <v>0.8</v>
      </c>
      <c r="J22" s="5">
        <f t="shared" si="5"/>
        <v>0.4</v>
      </c>
      <c r="K22" s="5">
        <f t="shared" si="6"/>
        <v>0.8</v>
      </c>
      <c r="M22" s="5">
        <f t="shared" si="7"/>
        <v>0.375</v>
      </c>
      <c r="N22" s="5">
        <f t="shared" si="8"/>
        <v>0.33333333333333331</v>
      </c>
      <c r="O22" s="5">
        <f t="shared" si="9"/>
        <v>0.66666666666666663</v>
      </c>
      <c r="P22" s="5">
        <f t="shared" si="10"/>
        <v>0.33333333333333331</v>
      </c>
      <c r="Q22" s="5">
        <f t="shared" si="11"/>
        <v>0.66666666666666663</v>
      </c>
    </row>
    <row r="23" spans="1:17" ht="16.8" customHeight="1" x14ac:dyDescent="0.3">
      <c r="A23" s="8" t="s">
        <v>12</v>
      </c>
      <c r="B23" s="8"/>
      <c r="C23" s="8"/>
      <c r="D23" s="8"/>
    </row>
    <row r="24" spans="1:17" ht="33.6" x14ac:dyDescent="0.3">
      <c r="A24" s="3" t="s">
        <v>13</v>
      </c>
      <c r="B24" s="3">
        <v>0.4</v>
      </c>
      <c r="C24" s="3" t="s">
        <v>14</v>
      </c>
      <c r="D24" s="3">
        <v>0.33333333333333331</v>
      </c>
    </row>
    <row r="25" spans="1:17" ht="16.8" x14ac:dyDescent="0.3">
      <c r="A25" s="3" t="s">
        <v>15</v>
      </c>
      <c r="B25" s="3">
        <v>0.2</v>
      </c>
      <c r="C25" s="3" t="s">
        <v>16</v>
      </c>
      <c r="D25" s="3">
        <v>0.33333333333333331</v>
      </c>
    </row>
    <row r="26" spans="1:17" ht="33.6" x14ac:dyDescent="0.3">
      <c r="A26" s="3" t="s">
        <v>17</v>
      </c>
      <c r="B26" s="3">
        <v>0.4</v>
      </c>
      <c r="C26" s="3" t="s">
        <v>18</v>
      </c>
      <c r="D26" s="3">
        <v>0.33333333333333331</v>
      </c>
    </row>
    <row r="27" spans="1:17" ht="16.8" x14ac:dyDescent="0.3">
      <c r="A27" s="3"/>
      <c r="B27" s="3"/>
      <c r="C27" s="3"/>
      <c r="D27" s="3"/>
    </row>
    <row r="28" spans="1:17" ht="16.8" customHeight="1" x14ac:dyDescent="0.3">
      <c r="A28" s="8" t="s">
        <v>3</v>
      </c>
      <c r="B28" s="8"/>
      <c r="C28" s="8"/>
      <c r="D28" s="8"/>
    </row>
    <row r="29" spans="1:17" ht="16.8" x14ac:dyDescent="0.3">
      <c r="A29" s="3" t="s">
        <v>7</v>
      </c>
      <c r="B29" s="3">
        <v>0.8</v>
      </c>
      <c r="C29" s="3" t="s">
        <v>8</v>
      </c>
      <c r="D29" s="3">
        <v>0.33333333333333331</v>
      </c>
    </row>
    <row r="30" spans="1:17" ht="16.8" x14ac:dyDescent="0.3">
      <c r="A30" s="3" t="s">
        <v>9</v>
      </c>
      <c r="B30" s="3">
        <v>0.2</v>
      </c>
      <c r="C30" s="3" t="s">
        <v>10</v>
      </c>
      <c r="D30" s="3">
        <v>0.66666666666666663</v>
      </c>
    </row>
  </sheetData>
  <mergeCells count="2">
    <mergeCell ref="A23:D23"/>
    <mergeCell ref="A28:D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 Gandhi</dc:creator>
  <cp:lastModifiedBy>Vansh Gandhi</cp:lastModifiedBy>
  <dcterms:created xsi:type="dcterms:W3CDTF">2021-10-06T19:52:57Z</dcterms:created>
  <dcterms:modified xsi:type="dcterms:W3CDTF">2022-05-03T23:26:02Z</dcterms:modified>
</cp:coreProperties>
</file>