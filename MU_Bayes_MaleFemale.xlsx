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UniStuff\SEM3\MU\"/>
    </mc:Choice>
  </mc:AlternateContent>
  <xr:revisionPtr revIDLastSave="0" documentId="13_ncr:1_{BB8E8206-4899-435C-AC63-48128DB2ACA6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2" r:id="rId1"/>
    <sheet name="MU" sheetId="1" r:id="rId2"/>
  </sheets>
  <calcPr calcId="181029"/>
  <pivotCaches>
    <pivotCache cacheId="13" r:id="rId3"/>
  </pivotCaches>
</workbook>
</file>

<file path=xl/calcChain.xml><?xml version="1.0" encoding="utf-8"?>
<calcChain xmlns="http://schemas.openxmlformats.org/spreadsheetml/2006/main">
  <c r="S12" i="1" l="1"/>
  <c r="F3" i="1" s="1"/>
  <c r="H3" i="1" s="1"/>
  <c r="I3" i="1" s="1"/>
  <c r="I69" i="1" s="1"/>
  <c r="I2" i="1"/>
  <c r="G13" i="1"/>
  <c r="G65" i="1"/>
  <c r="G66" i="1"/>
  <c r="G67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11" i="1"/>
  <c r="AA12" i="1"/>
  <c r="AA13" i="1"/>
  <c r="AA14" i="1"/>
  <c r="AA15" i="1"/>
  <c r="AA16" i="1"/>
  <c r="AA17" i="1"/>
  <c r="G8" i="1" s="1"/>
  <c r="AA18" i="1"/>
  <c r="AA19" i="1"/>
  <c r="AA20" i="1"/>
  <c r="AA21" i="1"/>
  <c r="AA22" i="1"/>
  <c r="AA23" i="1"/>
  <c r="AA24" i="1"/>
  <c r="AA25" i="1"/>
  <c r="AA26" i="1"/>
  <c r="AA27" i="1"/>
  <c r="AA28" i="1"/>
  <c r="AA29" i="1"/>
  <c r="G20" i="1" s="1"/>
  <c r="AA30" i="1"/>
  <c r="AA31" i="1"/>
  <c r="AA32" i="1"/>
  <c r="AA33" i="1"/>
  <c r="AA34" i="1"/>
  <c r="G25" i="1" s="1"/>
  <c r="AA35" i="1"/>
  <c r="AA37" i="1"/>
  <c r="AA38" i="1"/>
  <c r="AA39" i="1"/>
  <c r="AA40" i="1"/>
  <c r="AA41" i="1"/>
  <c r="G32" i="1" s="1"/>
  <c r="AA42" i="1"/>
  <c r="AA45" i="1"/>
  <c r="AA46" i="1"/>
  <c r="G37" i="1" s="1"/>
  <c r="AA47" i="1"/>
  <c r="AA48" i="1"/>
  <c r="AA49" i="1"/>
  <c r="AA50" i="1"/>
  <c r="AA51" i="1"/>
  <c r="AA52" i="1"/>
  <c r="AA53" i="1"/>
  <c r="G44" i="1" s="1"/>
  <c r="AA54" i="1"/>
  <c r="AA55" i="1"/>
  <c r="AA56" i="1"/>
  <c r="AA57" i="1"/>
  <c r="AA58" i="1"/>
  <c r="G49" i="1" s="1"/>
  <c r="AA59" i="1"/>
  <c r="AA60" i="1"/>
  <c r="AA62" i="1"/>
  <c r="AA63" i="1"/>
  <c r="AA64" i="1"/>
  <c r="AA65" i="1"/>
  <c r="G56" i="1" s="1"/>
  <c r="AA66" i="1"/>
  <c r="AA67" i="1"/>
  <c r="AA68" i="1"/>
  <c r="AA69" i="1"/>
  <c r="AA70" i="1"/>
  <c r="G61" i="1" s="1"/>
  <c r="AA71" i="1"/>
  <c r="AA72" i="1"/>
  <c r="AA73" i="1"/>
  <c r="AA11" i="1"/>
  <c r="Z12" i="1"/>
  <c r="G3" i="1" s="1"/>
  <c r="Z13" i="1"/>
  <c r="G4" i="1" s="1"/>
  <c r="Z14" i="1"/>
  <c r="G5" i="1" s="1"/>
  <c r="Z15" i="1"/>
  <c r="G6" i="1" s="1"/>
  <c r="Z16" i="1"/>
  <c r="G7" i="1" s="1"/>
  <c r="Z17" i="1"/>
  <c r="Z18" i="1"/>
  <c r="G9" i="1" s="1"/>
  <c r="Z19" i="1"/>
  <c r="G10" i="1" s="1"/>
  <c r="Z20" i="1"/>
  <c r="G11" i="1" s="1"/>
  <c r="Z21" i="1"/>
  <c r="G12" i="1" s="1"/>
  <c r="Z22" i="1"/>
  <c r="Z23" i="1"/>
  <c r="G14" i="1" s="1"/>
  <c r="Z24" i="1"/>
  <c r="G15" i="1" s="1"/>
  <c r="Z25" i="1"/>
  <c r="G16" i="1" s="1"/>
  <c r="Z26" i="1"/>
  <c r="G17" i="1" s="1"/>
  <c r="Z27" i="1"/>
  <c r="G18" i="1" s="1"/>
  <c r="Z28" i="1"/>
  <c r="G19" i="1" s="1"/>
  <c r="Z29" i="1"/>
  <c r="Z30" i="1"/>
  <c r="G21" i="1" s="1"/>
  <c r="Z31" i="1"/>
  <c r="G22" i="1" s="1"/>
  <c r="Z32" i="1"/>
  <c r="G23" i="1" s="1"/>
  <c r="Z33" i="1"/>
  <c r="G24" i="1" s="1"/>
  <c r="Z34" i="1"/>
  <c r="Z35" i="1"/>
  <c r="G26" i="1" s="1"/>
  <c r="Z36" i="1"/>
  <c r="G27" i="1" s="1"/>
  <c r="Z37" i="1"/>
  <c r="G28" i="1" s="1"/>
  <c r="Z38" i="1"/>
  <c r="G29" i="1" s="1"/>
  <c r="Z39" i="1"/>
  <c r="G30" i="1" s="1"/>
  <c r="Z40" i="1"/>
  <c r="G31" i="1" s="1"/>
  <c r="Z41" i="1"/>
  <c r="Z42" i="1"/>
  <c r="G33" i="1" s="1"/>
  <c r="Z43" i="1"/>
  <c r="Z44" i="1"/>
  <c r="Z45" i="1"/>
  <c r="G36" i="1" s="1"/>
  <c r="Z46" i="1"/>
  <c r="Z47" i="1"/>
  <c r="G38" i="1" s="1"/>
  <c r="Z48" i="1"/>
  <c r="G39" i="1" s="1"/>
  <c r="Z49" i="1"/>
  <c r="G40" i="1" s="1"/>
  <c r="Z50" i="1"/>
  <c r="G41" i="1" s="1"/>
  <c r="Z51" i="1"/>
  <c r="G42" i="1" s="1"/>
  <c r="Z52" i="1"/>
  <c r="G43" i="1" s="1"/>
  <c r="Z53" i="1"/>
  <c r="Z54" i="1"/>
  <c r="G45" i="1" s="1"/>
  <c r="Z55" i="1"/>
  <c r="G46" i="1" s="1"/>
  <c r="Z56" i="1"/>
  <c r="G47" i="1" s="1"/>
  <c r="Z57" i="1"/>
  <c r="G48" i="1" s="1"/>
  <c r="Z58" i="1"/>
  <c r="Z59" i="1"/>
  <c r="G50" i="1" s="1"/>
  <c r="Z60" i="1"/>
  <c r="G51" i="1" s="1"/>
  <c r="Z61" i="1"/>
  <c r="Z62" i="1"/>
  <c r="G53" i="1" s="1"/>
  <c r="Z63" i="1"/>
  <c r="G54" i="1" s="1"/>
  <c r="Z64" i="1"/>
  <c r="G55" i="1" s="1"/>
  <c r="Z65" i="1"/>
  <c r="Z66" i="1"/>
  <c r="G57" i="1" s="1"/>
  <c r="Z67" i="1"/>
  <c r="G58" i="1" s="1"/>
  <c r="Z68" i="1"/>
  <c r="G59" i="1" s="1"/>
  <c r="Z69" i="1"/>
  <c r="G60" i="1" s="1"/>
  <c r="Z70" i="1"/>
  <c r="Z71" i="1"/>
  <c r="G62" i="1" s="1"/>
  <c r="Z72" i="1"/>
  <c r="G63" i="1" s="1"/>
  <c r="Z73" i="1"/>
  <c r="G64" i="1" s="1"/>
  <c r="Z11" i="1"/>
  <c r="G2" i="1" s="1"/>
  <c r="F65" i="1"/>
  <c r="H65" i="1" s="1"/>
  <c r="I65" i="1" s="1"/>
  <c r="F66" i="1"/>
  <c r="H66" i="1" s="1"/>
  <c r="I66" i="1" s="1"/>
  <c r="F67" i="1"/>
  <c r="H67" i="1" s="1"/>
  <c r="I67" i="1" s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11" i="1"/>
  <c r="U12" i="1"/>
  <c r="U13" i="1"/>
  <c r="U14" i="1"/>
  <c r="U15" i="1"/>
  <c r="U16" i="1"/>
  <c r="F7" i="1" s="1"/>
  <c r="H7" i="1" s="1"/>
  <c r="I7" i="1" s="1"/>
  <c r="U17" i="1"/>
  <c r="U18" i="1"/>
  <c r="U19" i="1"/>
  <c r="U20" i="1"/>
  <c r="U21" i="1"/>
  <c r="U22" i="1"/>
  <c r="U23" i="1"/>
  <c r="F14" i="1" s="1"/>
  <c r="H14" i="1" s="1"/>
  <c r="I14" i="1" s="1"/>
  <c r="U24" i="1"/>
  <c r="U25" i="1"/>
  <c r="U26" i="1"/>
  <c r="U27" i="1"/>
  <c r="U28" i="1"/>
  <c r="F19" i="1" s="1"/>
  <c r="H19" i="1" s="1"/>
  <c r="I19" i="1" s="1"/>
  <c r="U29" i="1"/>
  <c r="U30" i="1"/>
  <c r="U31" i="1"/>
  <c r="U32" i="1"/>
  <c r="U33" i="1"/>
  <c r="U34" i="1"/>
  <c r="U35" i="1"/>
  <c r="F26" i="1" s="1"/>
  <c r="H26" i="1" s="1"/>
  <c r="I26" i="1" s="1"/>
  <c r="U36" i="1"/>
  <c r="U37" i="1"/>
  <c r="U38" i="1"/>
  <c r="U39" i="1"/>
  <c r="U40" i="1"/>
  <c r="F31" i="1" s="1"/>
  <c r="H31" i="1" s="1"/>
  <c r="I31" i="1" s="1"/>
  <c r="U41" i="1"/>
  <c r="U42" i="1"/>
  <c r="U43" i="1"/>
  <c r="U44" i="1"/>
  <c r="U45" i="1"/>
  <c r="U46" i="1"/>
  <c r="U47" i="1"/>
  <c r="F38" i="1" s="1"/>
  <c r="H38" i="1" s="1"/>
  <c r="I38" i="1" s="1"/>
  <c r="U48" i="1"/>
  <c r="U49" i="1"/>
  <c r="U50" i="1"/>
  <c r="U51" i="1"/>
  <c r="U52" i="1"/>
  <c r="F43" i="1" s="1"/>
  <c r="H43" i="1" s="1"/>
  <c r="I43" i="1" s="1"/>
  <c r="U53" i="1"/>
  <c r="U54" i="1"/>
  <c r="U55" i="1"/>
  <c r="U56" i="1"/>
  <c r="U57" i="1"/>
  <c r="U58" i="1"/>
  <c r="U59" i="1"/>
  <c r="F50" i="1" s="1"/>
  <c r="H50" i="1" s="1"/>
  <c r="I50" i="1" s="1"/>
  <c r="U60" i="1"/>
  <c r="U61" i="1"/>
  <c r="U62" i="1"/>
  <c r="U63" i="1"/>
  <c r="U64" i="1"/>
  <c r="F55" i="1" s="1"/>
  <c r="H55" i="1" s="1"/>
  <c r="I55" i="1" s="1"/>
  <c r="U65" i="1"/>
  <c r="U66" i="1"/>
  <c r="U67" i="1"/>
  <c r="U68" i="1"/>
  <c r="U69" i="1"/>
  <c r="U70" i="1"/>
  <c r="U71" i="1"/>
  <c r="F62" i="1" s="1"/>
  <c r="H62" i="1" s="1"/>
  <c r="I62" i="1" s="1"/>
  <c r="U72" i="1"/>
  <c r="U73" i="1"/>
  <c r="U11" i="1"/>
  <c r="S13" i="1"/>
  <c r="F4" i="1" s="1"/>
  <c r="S14" i="1"/>
  <c r="F5" i="1" s="1"/>
  <c r="H5" i="1" s="1"/>
  <c r="I5" i="1" s="1"/>
  <c r="S15" i="1"/>
  <c r="F6" i="1" s="1"/>
  <c r="S16" i="1"/>
  <c r="S17" i="1"/>
  <c r="F8" i="1" s="1"/>
  <c r="H8" i="1" s="1"/>
  <c r="I8" i="1" s="1"/>
  <c r="S18" i="1"/>
  <c r="F9" i="1" s="1"/>
  <c r="H9" i="1" s="1"/>
  <c r="I9" i="1" s="1"/>
  <c r="S19" i="1"/>
  <c r="F10" i="1" s="1"/>
  <c r="S20" i="1"/>
  <c r="F11" i="1" s="1"/>
  <c r="H11" i="1" s="1"/>
  <c r="I11" i="1" s="1"/>
  <c r="S21" i="1"/>
  <c r="F12" i="1" s="1"/>
  <c r="H12" i="1" s="1"/>
  <c r="I12" i="1" s="1"/>
  <c r="S22" i="1"/>
  <c r="F13" i="1" s="1"/>
  <c r="H13" i="1" s="1"/>
  <c r="I13" i="1" s="1"/>
  <c r="S23" i="1"/>
  <c r="S24" i="1"/>
  <c r="F15" i="1" s="1"/>
  <c r="H15" i="1" s="1"/>
  <c r="I15" i="1" s="1"/>
  <c r="S25" i="1"/>
  <c r="F16" i="1" s="1"/>
  <c r="S26" i="1"/>
  <c r="F17" i="1" s="1"/>
  <c r="H17" i="1" s="1"/>
  <c r="I17" i="1" s="1"/>
  <c r="S27" i="1"/>
  <c r="F18" i="1" s="1"/>
  <c r="S28" i="1"/>
  <c r="S29" i="1"/>
  <c r="F20" i="1" s="1"/>
  <c r="H20" i="1" s="1"/>
  <c r="I20" i="1" s="1"/>
  <c r="S30" i="1"/>
  <c r="F21" i="1" s="1"/>
  <c r="H21" i="1" s="1"/>
  <c r="I21" i="1" s="1"/>
  <c r="S31" i="1"/>
  <c r="F22" i="1" s="1"/>
  <c r="S32" i="1"/>
  <c r="F23" i="1" s="1"/>
  <c r="H23" i="1" s="1"/>
  <c r="I23" i="1" s="1"/>
  <c r="S33" i="1"/>
  <c r="F24" i="1" s="1"/>
  <c r="H24" i="1" s="1"/>
  <c r="I24" i="1" s="1"/>
  <c r="S34" i="1"/>
  <c r="F25" i="1" s="1"/>
  <c r="H25" i="1" s="1"/>
  <c r="I25" i="1" s="1"/>
  <c r="S35" i="1"/>
  <c r="S36" i="1"/>
  <c r="F27" i="1" s="1"/>
  <c r="H27" i="1" s="1"/>
  <c r="I27" i="1" s="1"/>
  <c r="S37" i="1"/>
  <c r="F28" i="1" s="1"/>
  <c r="S38" i="1"/>
  <c r="F29" i="1" s="1"/>
  <c r="H29" i="1" s="1"/>
  <c r="I29" i="1" s="1"/>
  <c r="S39" i="1"/>
  <c r="F30" i="1" s="1"/>
  <c r="S40" i="1"/>
  <c r="S41" i="1"/>
  <c r="F32" i="1" s="1"/>
  <c r="H32" i="1" s="1"/>
  <c r="I32" i="1" s="1"/>
  <c r="S42" i="1"/>
  <c r="F33" i="1" s="1"/>
  <c r="H33" i="1" s="1"/>
  <c r="I33" i="1" s="1"/>
  <c r="S43" i="1"/>
  <c r="F34" i="1" s="1"/>
  <c r="S44" i="1"/>
  <c r="F35" i="1" s="1"/>
  <c r="S45" i="1"/>
  <c r="F36" i="1" s="1"/>
  <c r="H36" i="1" s="1"/>
  <c r="I36" i="1" s="1"/>
  <c r="S46" i="1"/>
  <c r="F37" i="1" s="1"/>
  <c r="H37" i="1" s="1"/>
  <c r="I37" i="1" s="1"/>
  <c r="S47" i="1"/>
  <c r="S48" i="1"/>
  <c r="F39" i="1" s="1"/>
  <c r="H39" i="1" s="1"/>
  <c r="I39" i="1" s="1"/>
  <c r="S49" i="1"/>
  <c r="F40" i="1" s="1"/>
  <c r="S50" i="1"/>
  <c r="F41" i="1" s="1"/>
  <c r="H41" i="1" s="1"/>
  <c r="I41" i="1" s="1"/>
  <c r="S51" i="1"/>
  <c r="F42" i="1" s="1"/>
  <c r="S52" i="1"/>
  <c r="S53" i="1"/>
  <c r="F44" i="1" s="1"/>
  <c r="H44" i="1" s="1"/>
  <c r="I44" i="1" s="1"/>
  <c r="S54" i="1"/>
  <c r="F45" i="1" s="1"/>
  <c r="H45" i="1" s="1"/>
  <c r="I45" i="1" s="1"/>
  <c r="S55" i="1"/>
  <c r="F46" i="1" s="1"/>
  <c r="S56" i="1"/>
  <c r="F47" i="1" s="1"/>
  <c r="H47" i="1" s="1"/>
  <c r="I47" i="1" s="1"/>
  <c r="S57" i="1"/>
  <c r="F48" i="1" s="1"/>
  <c r="H48" i="1" s="1"/>
  <c r="I48" i="1" s="1"/>
  <c r="S58" i="1"/>
  <c r="F49" i="1" s="1"/>
  <c r="H49" i="1" s="1"/>
  <c r="I49" i="1" s="1"/>
  <c r="S59" i="1"/>
  <c r="S60" i="1"/>
  <c r="F51" i="1" s="1"/>
  <c r="H51" i="1" s="1"/>
  <c r="I51" i="1" s="1"/>
  <c r="S61" i="1"/>
  <c r="F52" i="1" s="1"/>
  <c r="S62" i="1"/>
  <c r="F53" i="1" s="1"/>
  <c r="H53" i="1" s="1"/>
  <c r="I53" i="1" s="1"/>
  <c r="S63" i="1"/>
  <c r="F54" i="1" s="1"/>
  <c r="S64" i="1"/>
  <c r="S65" i="1"/>
  <c r="F56" i="1" s="1"/>
  <c r="H56" i="1" s="1"/>
  <c r="I56" i="1" s="1"/>
  <c r="S66" i="1"/>
  <c r="F57" i="1" s="1"/>
  <c r="H57" i="1" s="1"/>
  <c r="I57" i="1" s="1"/>
  <c r="S67" i="1"/>
  <c r="F58" i="1" s="1"/>
  <c r="S68" i="1"/>
  <c r="F59" i="1" s="1"/>
  <c r="H59" i="1" s="1"/>
  <c r="I59" i="1" s="1"/>
  <c r="S69" i="1"/>
  <c r="F60" i="1" s="1"/>
  <c r="H60" i="1" s="1"/>
  <c r="I60" i="1" s="1"/>
  <c r="S70" i="1"/>
  <c r="F61" i="1" s="1"/>
  <c r="H61" i="1" s="1"/>
  <c r="I61" i="1" s="1"/>
  <c r="S71" i="1"/>
  <c r="S72" i="1"/>
  <c r="F63" i="1" s="1"/>
  <c r="H63" i="1" s="1"/>
  <c r="I63" i="1" s="1"/>
  <c r="S73" i="1"/>
  <c r="F64" i="1" s="1"/>
  <c r="S11" i="1"/>
  <c r="F2" i="1" s="1"/>
  <c r="H2" i="1" s="1"/>
  <c r="M19" i="1"/>
  <c r="AA36" i="1" s="1"/>
  <c r="M3" i="1"/>
  <c r="M2" i="1"/>
  <c r="H58" i="1" l="1"/>
  <c r="I58" i="1" s="1"/>
  <c r="H46" i="1"/>
  <c r="I46" i="1" s="1"/>
  <c r="H22" i="1"/>
  <c r="I22" i="1" s="1"/>
  <c r="H10" i="1"/>
  <c r="I10" i="1" s="1"/>
  <c r="H54" i="1"/>
  <c r="I54" i="1" s="1"/>
  <c r="H42" i="1"/>
  <c r="I42" i="1" s="1"/>
  <c r="H30" i="1"/>
  <c r="I30" i="1" s="1"/>
  <c r="H18" i="1"/>
  <c r="I18" i="1" s="1"/>
  <c r="H6" i="1"/>
  <c r="I6" i="1" s="1"/>
  <c r="H64" i="1"/>
  <c r="I64" i="1" s="1"/>
  <c r="H40" i="1"/>
  <c r="I40" i="1" s="1"/>
  <c r="H28" i="1"/>
  <c r="I28" i="1" s="1"/>
  <c r="H16" i="1"/>
  <c r="I16" i="1" s="1"/>
  <c r="H4" i="1"/>
  <c r="I4" i="1" s="1"/>
  <c r="AA44" i="1"/>
  <c r="G35" i="1" s="1"/>
  <c r="H35" i="1" s="1"/>
  <c r="I35" i="1" s="1"/>
  <c r="AA43" i="1"/>
  <c r="G34" i="1" s="1"/>
  <c r="H34" i="1" s="1"/>
  <c r="I34" i="1" s="1"/>
  <c r="AA61" i="1"/>
  <c r="G52" i="1" s="1"/>
  <c r="H52" i="1" s="1"/>
  <c r="I52" i="1" s="1"/>
</calcChain>
</file>

<file path=xl/sharedStrings.xml><?xml version="1.0" encoding="utf-8"?>
<sst xmlns="http://schemas.openxmlformats.org/spreadsheetml/2006/main" count="419" uniqueCount="78">
  <si>
    <t>Favorite Color</t>
  </si>
  <si>
    <t>Favorite Music Genre</t>
  </si>
  <si>
    <t>Favorite Beverage</t>
  </si>
  <si>
    <t>Favorite Soft Drink</t>
  </si>
  <si>
    <t>Gender</t>
  </si>
  <si>
    <t>Cool</t>
  </si>
  <si>
    <t>Rock</t>
  </si>
  <si>
    <t>Vodka</t>
  </si>
  <si>
    <t>7UP/Sprite</t>
  </si>
  <si>
    <t>F</t>
  </si>
  <si>
    <t>Neutral</t>
  </si>
  <si>
    <t>Hip hop</t>
  </si>
  <si>
    <t>Coca Cola/Pepsi</t>
  </si>
  <si>
    <t>Warm</t>
  </si>
  <si>
    <t>Wine</t>
  </si>
  <si>
    <t>Folk/Traditional</t>
  </si>
  <si>
    <t>Whiskey</t>
  </si>
  <si>
    <t>Fanta</t>
  </si>
  <si>
    <t>Jazz/Blues</t>
  </si>
  <si>
    <t>Doesn't drink</t>
  </si>
  <si>
    <t>Pop</t>
  </si>
  <si>
    <t>Beer</t>
  </si>
  <si>
    <t>Other</t>
  </si>
  <si>
    <t>Electronic</t>
  </si>
  <si>
    <t>R&amp;B and soul</t>
  </si>
  <si>
    <t>M</t>
  </si>
  <si>
    <t>P(M)</t>
  </si>
  <si>
    <t>P(F)</t>
  </si>
  <si>
    <t>Row Labels</t>
  </si>
  <si>
    <t>Grand Total</t>
  </si>
  <si>
    <t>Favourite Colour</t>
  </si>
  <si>
    <t>P(Electronic/M)</t>
  </si>
  <si>
    <t>P(Folk/Traditional/M)</t>
  </si>
  <si>
    <t>P(Hip hop/M)</t>
  </si>
  <si>
    <t>P(Jazz/Blues/M)</t>
  </si>
  <si>
    <t>P(Pop/M)</t>
  </si>
  <si>
    <t>P(R&amp;B and soul/M)</t>
  </si>
  <si>
    <t>P(Rock/M)</t>
  </si>
  <si>
    <t>P(Electronic/F)</t>
  </si>
  <si>
    <t>P(Folk/Traditional/F)</t>
  </si>
  <si>
    <t>P(Hip hop/F)</t>
  </si>
  <si>
    <t>P(Jazz/Blues/F)</t>
  </si>
  <si>
    <t>P(Pop/F)</t>
  </si>
  <si>
    <t>P(R&amp;B and soul/F)</t>
  </si>
  <si>
    <t>P(Rock/F)</t>
  </si>
  <si>
    <t>P(COOL/F)</t>
  </si>
  <si>
    <t>P(NEUTRAL/F)</t>
  </si>
  <si>
    <t>P(WARM/F)</t>
  </si>
  <si>
    <t>P(NEUTRAL/M)</t>
  </si>
  <si>
    <t>P(WARM/M)</t>
  </si>
  <si>
    <t>P(COOL/M)</t>
  </si>
  <si>
    <t>P(Beer/M)</t>
  </si>
  <si>
    <t>P(Beer/F)</t>
  </si>
  <si>
    <t>P(Doesn't drink/M)</t>
  </si>
  <si>
    <t>P(Other/M)</t>
  </si>
  <si>
    <t>P(Vodka/M)</t>
  </si>
  <si>
    <t>P(Whiskey/M)</t>
  </si>
  <si>
    <t>P(Wine/M)</t>
  </si>
  <si>
    <t>P(Doesn't drink/F)</t>
  </si>
  <si>
    <t>P(Other/F)</t>
  </si>
  <si>
    <t>P(Vodka/F)</t>
  </si>
  <si>
    <t>P(Whiskey/F)</t>
  </si>
  <si>
    <t>P(Wine/F)</t>
  </si>
  <si>
    <t>P(7UP/Sprite/M)</t>
  </si>
  <si>
    <t>P(Fanta/M)</t>
  </si>
  <si>
    <t>P(7UP/Sprite/F)</t>
  </si>
  <si>
    <t>P(Coca Cola/Pepsi/F)</t>
  </si>
  <si>
    <t>P(Fanta/F)</t>
  </si>
  <si>
    <t>P(Coca Cola/Pepsi/M)</t>
  </si>
  <si>
    <t>P(F/Info)</t>
  </si>
  <si>
    <t>P(M/Info)</t>
  </si>
  <si>
    <t>Prediction</t>
  </si>
  <si>
    <t>Female</t>
  </si>
  <si>
    <t>Count of Favorite Beverage</t>
  </si>
  <si>
    <t>Count of Favorite Music Genre</t>
  </si>
  <si>
    <t>Male</t>
  </si>
  <si>
    <t>Correct Predictions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</si>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</sst>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164" fontId="0" fillId="33" borderId="0" xfId="0" applyNumberFormat="1" applyFill="1"/>
    <xf numFmtId="164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sh Gandhi" refreshedDate="44476.104015393517" createdVersion="6" refreshedVersion="6" minRefreshableVersion="3" recordCount="66" xr:uid="{00000000-000A-0000-FFFF-FFFF06000000}">
  <cacheSource type="worksheet">
    <worksheetSource ref="A1:E67" sheet="MU"/>
  </cacheSource>
  <cacheFields count="5">
    <cacheField name="Favorite Color" numFmtId="0">
      <sharedItems count="3">
        <s v="Cool"/>
        <s v="Neutral"/>
        <s v="Warm"/>
      </sharedItems>
    </cacheField>
    <cacheField name="Favorite Music Genre" numFmtId="0">
      <sharedItems count="7">
        <s v="Rock"/>
        <s v="Hip hop"/>
        <s v="Folk/Traditional"/>
        <s v="Jazz/Blues"/>
        <s v="Pop"/>
        <s v="Electronic"/>
        <s v="R&amp;B and soul"/>
      </sharedItems>
    </cacheField>
    <cacheField name="Favorite Beverage" numFmtId="0">
      <sharedItems count="6">
        <s v="Vodka"/>
        <s v="Wine"/>
        <s v="Whiskey"/>
        <s v="Doesn't drink"/>
        <s v="Beer"/>
        <s v="Other"/>
      </sharedItems>
    </cacheField>
    <cacheField name="Favorite Soft Drink" numFmtId="0">
      <sharedItems count="4">
        <s v="7UP/Sprite"/>
        <s v="Coca Cola/Pepsi"/>
        <s v="Fanta"/>
        <s v="Other"/>
      </sharedItems>
    </cacheField>
    <cacheField name="Gender" numFmtId="0">
      <sharedItems count="2">
        <s v="F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">
  <r>
    <x v="0"/>
    <x v="0"/>
    <x v="0"/>
    <x v="0"/>
    <x v="0"/>
  </r>
  <r>
    <x v="1"/>
    <x v="1"/>
    <x v="0"/>
    <x v="1"/>
    <x v="0"/>
  </r>
  <r>
    <x v="2"/>
    <x v="0"/>
    <x v="1"/>
    <x v="1"/>
    <x v="0"/>
  </r>
  <r>
    <x v="2"/>
    <x v="2"/>
    <x v="2"/>
    <x v="2"/>
    <x v="0"/>
  </r>
  <r>
    <x v="0"/>
    <x v="0"/>
    <x v="0"/>
    <x v="1"/>
    <x v="0"/>
  </r>
  <r>
    <x v="2"/>
    <x v="3"/>
    <x v="3"/>
    <x v="2"/>
    <x v="0"/>
  </r>
  <r>
    <x v="0"/>
    <x v="4"/>
    <x v="4"/>
    <x v="1"/>
    <x v="0"/>
  </r>
  <r>
    <x v="2"/>
    <x v="4"/>
    <x v="2"/>
    <x v="2"/>
    <x v="0"/>
  </r>
  <r>
    <x v="2"/>
    <x v="0"/>
    <x v="5"/>
    <x v="0"/>
    <x v="0"/>
  </r>
  <r>
    <x v="1"/>
    <x v="4"/>
    <x v="1"/>
    <x v="1"/>
    <x v="0"/>
  </r>
  <r>
    <x v="0"/>
    <x v="4"/>
    <x v="5"/>
    <x v="0"/>
    <x v="0"/>
  </r>
  <r>
    <x v="2"/>
    <x v="4"/>
    <x v="5"/>
    <x v="0"/>
    <x v="0"/>
  </r>
  <r>
    <x v="2"/>
    <x v="4"/>
    <x v="1"/>
    <x v="0"/>
    <x v="0"/>
  </r>
  <r>
    <x v="2"/>
    <x v="5"/>
    <x v="1"/>
    <x v="1"/>
    <x v="0"/>
  </r>
  <r>
    <x v="0"/>
    <x v="0"/>
    <x v="4"/>
    <x v="1"/>
    <x v="0"/>
  </r>
  <r>
    <x v="2"/>
    <x v="3"/>
    <x v="1"/>
    <x v="1"/>
    <x v="0"/>
  </r>
  <r>
    <x v="0"/>
    <x v="4"/>
    <x v="1"/>
    <x v="0"/>
    <x v="0"/>
  </r>
  <r>
    <x v="0"/>
    <x v="0"/>
    <x v="5"/>
    <x v="1"/>
    <x v="0"/>
  </r>
  <r>
    <x v="0"/>
    <x v="0"/>
    <x v="5"/>
    <x v="1"/>
    <x v="0"/>
  </r>
  <r>
    <x v="0"/>
    <x v="4"/>
    <x v="3"/>
    <x v="0"/>
    <x v="0"/>
  </r>
  <r>
    <x v="0"/>
    <x v="4"/>
    <x v="4"/>
    <x v="2"/>
    <x v="0"/>
  </r>
  <r>
    <x v="2"/>
    <x v="3"/>
    <x v="2"/>
    <x v="2"/>
    <x v="0"/>
  </r>
  <r>
    <x v="0"/>
    <x v="0"/>
    <x v="0"/>
    <x v="1"/>
    <x v="0"/>
  </r>
  <r>
    <x v="2"/>
    <x v="4"/>
    <x v="5"/>
    <x v="1"/>
    <x v="0"/>
  </r>
  <r>
    <x v="0"/>
    <x v="2"/>
    <x v="2"/>
    <x v="0"/>
    <x v="0"/>
  </r>
  <r>
    <x v="2"/>
    <x v="6"/>
    <x v="2"/>
    <x v="1"/>
    <x v="0"/>
  </r>
  <r>
    <x v="0"/>
    <x v="4"/>
    <x v="4"/>
    <x v="3"/>
    <x v="0"/>
  </r>
  <r>
    <x v="0"/>
    <x v="4"/>
    <x v="3"/>
    <x v="3"/>
    <x v="0"/>
  </r>
  <r>
    <x v="0"/>
    <x v="4"/>
    <x v="3"/>
    <x v="1"/>
    <x v="0"/>
  </r>
  <r>
    <x v="0"/>
    <x v="5"/>
    <x v="3"/>
    <x v="2"/>
    <x v="0"/>
  </r>
  <r>
    <x v="2"/>
    <x v="0"/>
    <x v="5"/>
    <x v="1"/>
    <x v="0"/>
  </r>
  <r>
    <x v="1"/>
    <x v="0"/>
    <x v="4"/>
    <x v="1"/>
    <x v="0"/>
  </r>
  <r>
    <x v="0"/>
    <x v="6"/>
    <x v="4"/>
    <x v="1"/>
    <x v="0"/>
  </r>
  <r>
    <x v="2"/>
    <x v="6"/>
    <x v="1"/>
    <x v="3"/>
    <x v="1"/>
  </r>
  <r>
    <x v="1"/>
    <x v="1"/>
    <x v="4"/>
    <x v="0"/>
    <x v="1"/>
  </r>
  <r>
    <x v="2"/>
    <x v="5"/>
    <x v="5"/>
    <x v="1"/>
    <x v="1"/>
  </r>
  <r>
    <x v="1"/>
    <x v="0"/>
    <x v="3"/>
    <x v="1"/>
    <x v="1"/>
  </r>
  <r>
    <x v="0"/>
    <x v="4"/>
    <x v="5"/>
    <x v="2"/>
    <x v="1"/>
  </r>
  <r>
    <x v="0"/>
    <x v="4"/>
    <x v="2"/>
    <x v="2"/>
    <x v="1"/>
  </r>
  <r>
    <x v="2"/>
    <x v="0"/>
    <x v="0"/>
    <x v="0"/>
    <x v="1"/>
  </r>
  <r>
    <x v="0"/>
    <x v="0"/>
    <x v="0"/>
    <x v="1"/>
    <x v="1"/>
  </r>
  <r>
    <x v="1"/>
    <x v="4"/>
    <x v="3"/>
    <x v="0"/>
    <x v="1"/>
  </r>
  <r>
    <x v="2"/>
    <x v="6"/>
    <x v="3"/>
    <x v="1"/>
    <x v="1"/>
  </r>
  <r>
    <x v="0"/>
    <x v="0"/>
    <x v="1"/>
    <x v="0"/>
    <x v="1"/>
  </r>
  <r>
    <x v="0"/>
    <x v="2"/>
    <x v="4"/>
    <x v="3"/>
    <x v="1"/>
  </r>
  <r>
    <x v="0"/>
    <x v="1"/>
    <x v="4"/>
    <x v="1"/>
    <x v="1"/>
  </r>
  <r>
    <x v="0"/>
    <x v="1"/>
    <x v="1"/>
    <x v="1"/>
    <x v="1"/>
  </r>
  <r>
    <x v="0"/>
    <x v="6"/>
    <x v="2"/>
    <x v="0"/>
    <x v="1"/>
  </r>
  <r>
    <x v="0"/>
    <x v="0"/>
    <x v="3"/>
    <x v="3"/>
    <x v="1"/>
  </r>
  <r>
    <x v="2"/>
    <x v="1"/>
    <x v="4"/>
    <x v="1"/>
    <x v="1"/>
  </r>
  <r>
    <x v="0"/>
    <x v="6"/>
    <x v="3"/>
    <x v="1"/>
    <x v="1"/>
  </r>
  <r>
    <x v="0"/>
    <x v="0"/>
    <x v="3"/>
    <x v="1"/>
    <x v="1"/>
  </r>
  <r>
    <x v="0"/>
    <x v="1"/>
    <x v="3"/>
    <x v="3"/>
    <x v="1"/>
  </r>
  <r>
    <x v="2"/>
    <x v="0"/>
    <x v="4"/>
    <x v="2"/>
    <x v="1"/>
  </r>
  <r>
    <x v="0"/>
    <x v="5"/>
    <x v="3"/>
    <x v="2"/>
    <x v="1"/>
  </r>
  <r>
    <x v="0"/>
    <x v="5"/>
    <x v="5"/>
    <x v="2"/>
    <x v="1"/>
  </r>
  <r>
    <x v="2"/>
    <x v="2"/>
    <x v="5"/>
    <x v="2"/>
    <x v="1"/>
  </r>
  <r>
    <x v="2"/>
    <x v="5"/>
    <x v="0"/>
    <x v="2"/>
    <x v="1"/>
  </r>
  <r>
    <x v="2"/>
    <x v="3"/>
    <x v="0"/>
    <x v="1"/>
    <x v="1"/>
  </r>
  <r>
    <x v="0"/>
    <x v="4"/>
    <x v="2"/>
    <x v="3"/>
    <x v="1"/>
  </r>
  <r>
    <x v="0"/>
    <x v="5"/>
    <x v="2"/>
    <x v="1"/>
    <x v="1"/>
  </r>
  <r>
    <x v="0"/>
    <x v="0"/>
    <x v="0"/>
    <x v="1"/>
    <x v="1"/>
  </r>
  <r>
    <x v="0"/>
    <x v="1"/>
    <x v="4"/>
    <x v="1"/>
    <x v="1"/>
  </r>
  <r>
    <x v="1"/>
    <x v="1"/>
    <x v="3"/>
    <x v="2"/>
    <x v="1"/>
  </r>
  <r>
    <x v="0"/>
    <x v="0"/>
    <x v="1"/>
    <x v="1"/>
    <x v="1"/>
  </r>
  <r>
    <x v="0"/>
    <x v="5"/>
    <x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7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>
      <items count="8">
        <item x="5"/>
        <item x="2"/>
        <item x="1"/>
        <item x="3"/>
        <item x="4"/>
        <item x="6"/>
        <item x="0"/>
        <item t="default"/>
      </items>
    </pivotField>
    <pivotField dataField="1" showAll="0">
      <items count="7">
        <item x="4"/>
        <item x="3"/>
        <item x="5"/>
        <item x="0"/>
        <item x="2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avorite Beverage" fld="2" subtotal="count" baseField="0" baseItem="0"/>
    <dataField name="Count of Favorite Music Gen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"/>
  <sheetViews>
    <sheetView topLeftCell="A2"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24.109375" bestFit="1" customWidth="1"/>
    <col min="3" max="3" width="26.88671875" bestFit="1" customWidth="1"/>
    <col min="4" max="4" width="20.6640625" bestFit="1" customWidth="1"/>
    <col min="5" max="5" width="5.77734375" bestFit="1" customWidth="1"/>
    <col min="6" max="6" width="10.77734375" bestFit="1" customWidth="1"/>
  </cols>
  <sheetData>
    <row r="3" spans="1:3" x14ac:dyDescent="0.3">
      <c r="A3" s="1" t="s">
        <v>28</v>
      </c>
      <c r="B3" t="s">
        <v>73</v>
      </c>
      <c r="C3" t="s">
        <v>74</v>
      </c>
    </row>
    <row r="4" spans="1:3" x14ac:dyDescent="0.3">
      <c r="A4" s="2" t="s">
        <v>5</v>
      </c>
      <c r="B4" s="3">
        <v>37</v>
      </c>
      <c r="C4" s="3">
        <v>37</v>
      </c>
    </row>
    <row r="5" spans="1:3" x14ac:dyDescent="0.3">
      <c r="A5" s="2" t="s">
        <v>10</v>
      </c>
      <c r="B5" s="3">
        <v>7</v>
      </c>
      <c r="C5" s="3">
        <v>7</v>
      </c>
    </row>
    <row r="6" spans="1:3" x14ac:dyDescent="0.3">
      <c r="A6" s="2" t="s">
        <v>13</v>
      </c>
      <c r="B6" s="3">
        <v>22</v>
      </c>
      <c r="C6" s="3">
        <v>22</v>
      </c>
    </row>
    <row r="7" spans="1:3" x14ac:dyDescent="0.3">
      <c r="A7" s="2" t="s">
        <v>29</v>
      </c>
      <c r="B7" s="3">
        <v>66</v>
      </c>
      <c r="C7" s="3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3"/>
  <sheetViews>
    <sheetView tabSelected="1" topLeftCell="D1" zoomScale="72" workbookViewId="0">
      <selection activeCell="S12" sqref="S12"/>
    </sheetView>
  </sheetViews>
  <sheetFormatPr defaultRowHeight="14.4" x14ac:dyDescent="0.3"/>
  <cols>
    <col min="1" max="1" width="12.5546875" style="4" bestFit="1" customWidth="1"/>
    <col min="2" max="2" width="18.44140625" style="4" bestFit="1" customWidth="1"/>
    <col min="3" max="3" width="15.77734375" style="4" bestFit="1" customWidth="1"/>
    <col min="4" max="4" width="16.21875" style="4" bestFit="1" customWidth="1"/>
    <col min="5" max="6" width="8.88671875" style="4"/>
    <col min="7" max="7" width="10.77734375" style="4" customWidth="1"/>
    <col min="8" max="8" width="11.44140625" style="4" customWidth="1"/>
    <col min="9" max="9" width="19.88671875" style="4" bestFit="1" customWidth="1"/>
    <col min="10" max="10" width="16.33203125" style="4" customWidth="1"/>
    <col min="11" max="11" width="19.33203125" style="4" customWidth="1"/>
    <col min="12" max="12" width="23.109375" style="4" bestFit="1" customWidth="1"/>
    <col min="13" max="13" width="8.88671875" style="4"/>
    <col min="14" max="14" width="17.88671875" style="4" customWidth="1"/>
    <col min="15" max="17" width="8.88671875" style="4"/>
    <col min="18" max="18" width="12.77734375" style="4" bestFit="1" customWidth="1"/>
    <col min="19" max="19" width="16.6640625" style="4" bestFit="1" customWidth="1"/>
    <col min="20" max="20" width="16" style="4" bestFit="1" customWidth="1"/>
    <col min="21" max="21" width="19.109375" style="4" bestFit="1" customWidth="1"/>
    <col min="22" max="16384" width="8.88671875" style="4"/>
  </cols>
  <sheetData>
    <row r="1" spans="1:2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69</v>
      </c>
      <c r="G1" s="4" t="s">
        <v>70</v>
      </c>
      <c r="H1" s="4" t="s">
        <v>71</v>
      </c>
      <c r="I1" s="4" t="s">
        <v>76</v>
      </c>
    </row>
    <row r="2" spans="1:29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>
        <f>R11*S11*T11*U11*V11</f>
        <v>2.2935760476456698E-3</v>
      </c>
      <c r="G2" s="4">
        <f>Y11*Z11*AA11*AB11*AC11</f>
        <v>1.8972595982363076E-3</v>
      </c>
      <c r="H2" s="4" t="str">
        <f>IF(F2&gt;G2,"F","M")</f>
        <v>F</v>
      </c>
      <c r="I2" s="4">
        <f>IF(E2=H2,1,0)</f>
        <v>1</v>
      </c>
      <c r="L2" s="4" t="s">
        <v>26</v>
      </c>
      <c r="M2" s="4">
        <f>33/66</f>
        <v>0.5</v>
      </c>
      <c r="R2" s="4" t="s">
        <v>0</v>
      </c>
      <c r="S2" s="4" t="s">
        <v>3</v>
      </c>
      <c r="T2" s="7" t="s">
        <v>2</v>
      </c>
      <c r="U2" s="7" t="s">
        <v>1</v>
      </c>
    </row>
    <row r="3" spans="1:29" x14ac:dyDescent="0.3">
      <c r="A3" s="4" t="s">
        <v>10</v>
      </c>
      <c r="B3" s="4" t="s">
        <v>11</v>
      </c>
      <c r="C3" s="4" t="s">
        <v>7</v>
      </c>
      <c r="D3" s="4" t="s">
        <v>12</v>
      </c>
      <c r="E3" s="4" t="s">
        <v>9</v>
      </c>
      <c r="F3" s="4">
        <f t="shared" ref="F3:F66" si="0">R12*S12*T12*U12*V12</f>
        <v>8.6009101786712599E-5</v>
      </c>
      <c r="G3" s="4">
        <f t="shared" ref="G3:G66" si="1">Y12*Z12*AA12*AB12*AC12</f>
        <v>8.853878125102769E-4</v>
      </c>
      <c r="H3" s="4" t="str">
        <f t="shared" ref="H3:H66" si="2">IF(F3&gt;G3,"F","M")</f>
        <v>M</v>
      </c>
      <c r="I3" s="4">
        <f t="shared" ref="I3:I66" si="3">IF(E3=H3,1,0)</f>
        <v>0</v>
      </c>
      <c r="L3" s="4" t="s">
        <v>27</v>
      </c>
      <c r="M3" s="4">
        <f>33/66</f>
        <v>0.5</v>
      </c>
      <c r="R3" s="4" t="s">
        <v>5</v>
      </c>
      <c r="S3" s="6" t="s">
        <v>8</v>
      </c>
      <c r="T3" s="6" t="s">
        <v>21</v>
      </c>
      <c r="U3" s="6" t="s">
        <v>23</v>
      </c>
    </row>
    <row r="4" spans="1:29" x14ac:dyDescent="0.3">
      <c r="A4" s="4" t="s">
        <v>13</v>
      </c>
      <c r="B4" s="4" t="s">
        <v>6</v>
      </c>
      <c r="C4" s="4" t="s">
        <v>14</v>
      </c>
      <c r="D4" s="4" t="s">
        <v>12</v>
      </c>
      <c r="E4" s="4" t="s">
        <v>9</v>
      </c>
      <c r="F4" s="4">
        <f t="shared" si="0"/>
        <v>0</v>
      </c>
      <c r="G4" s="4">
        <f t="shared" si="1"/>
        <v>0</v>
      </c>
      <c r="H4" s="4" t="str">
        <f t="shared" si="2"/>
        <v>M</v>
      </c>
      <c r="I4" s="4">
        <f t="shared" si="3"/>
        <v>0</v>
      </c>
      <c r="R4" s="4" t="s">
        <v>10</v>
      </c>
      <c r="S4" s="6" t="s">
        <v>12</v>
      </c>
      <c r="T4" s="6" t="s">
        <v>19</v>
      </c>
      <c r="U4" s="6" t="s">
        <v>15</v>
      </c>
    </row>
    <row r="5" spans="1:29" x14ac:dyDescent="0.3">
      <c r="A5" s="4" t="s">
        <v>13</v>
      </c>
      <c r="B5" s="4" t="s">
        <v>15</v>
      </c>
      <c r="C5" s="4" t="s">
        <v>16</v>
      </c>
      <c r="D5" s="4" t="s">
        <v>17</v>
      </c>
      <c r="E5" s="4" t="s">
        <v>9</v>
      </c>
      <c r="F5" s="4">
        <f t="shared" si="0"/>
        <v>3.2885833036095996E-4</v>
      </c>
      <c r="G5" s="4">
        <f t="shared" si="1"/>
        <v>2.428492285742474E-4</v>
      </c>
      <c r="H5" s="4" t="str">
        <f t="shared" si="2"/>
        <v>F</v>
      </c>
      <c r="I5" s="4">
        <f t="shared" si="3"/>
        <v>1</v>
      </c>
      <c r="R5" s="4" t="s">
        <v>13</v>
      </c>
      <c r="S5" s="6" t="s">
        <v>17</v>
      </c>
      <c r="T5" s="6" t="s">
        <v>22</v>
      </c>
      <c r="U5" s="6" t="s">
        <v>11</v>
      </c>
    </row>
    <row r="6" spans="1:29" x14ac:dyDescent="0.3">
      <c r="A6" s="4" t="s">
        <v>5</v>
      </c>
      <c r="B6" s="4" t="s">
        <v>6</v>
      </c>
      <c r="C6" s="4" t="s">
        <v>7</v>
      </c>
      <c r="D6" s="4" t="s">
        <v>12</v>
      </c>
      <c r="E6" s="4" t="s">
        <v>9</v>
      </c>
      <c r="F6" s="4">
        <f t="shared" si="0"/>
        <v>2.4369245506235242E-3</v>
      </c>
      <c r="G6" s="4">
        <f t="shared" si="1"/>
        <v>5.6917787947089226E-3</v>
      </c>
      <c r="H6" s="4" t="str">
        <f t="shared" si="2"/>
        <v>M</v>
      </c>
      <c r="I6" s="4">
        <f t="shared" si="3"/>
        <v>0</v>
      </c>
      <c r="S6" s="6" t="s">
        <v>22</v>
      </c>
      <c r="T6" s="6" t="s">
        <v>7</v>
      </c>
      <c r="U6" s="6" t="s">
        <v>18</v>
      </c>
    </row>
    <row r="7" spans="1:29" x14ac:dyDescent="0.3">
      <c r="A7" s="4" t="s">
        <v>13</v>
      </c>
      <c r="B7" s="4" t="s">
        <v>18</v>
      </c>
      <c r="C7" s="4" t="s">
        <v>19</v>
      </c>
      <c r="D7" s="4" t="s">
        <v>17</v>
      </c>
      <c r="E7" s="4" t="s">
        <v>9</v>
      </c>
      <c r="F7" s="4">
        <f t="shared" si="0"/>
        <v>4.9328749554143994E-4</v>
      </c>
      <c r="G7" s="4">
        <f t="shared" si="1"/>
        <v>2.7320538214602825E-4</v>
      </c>
      <c r="H7" s="4" t="str">
        <f t="shared" si="2"/>
        <v>F</v>
      </c>
      <c r="I7" s="4">
        <f t="shared" si="3"/>
        <v>1</v>
      </c>
      <c r="T7" s="6" t="s">
        <v>16</v>
      </c>
      <c r="U7" s="6" t="s">
        <v>20</v>
      </c>
    </row>
    <row r="8" spans="1:29" x14ac:dyDescent="0.3">
      <c r="A8" s="4" t="s">
        <v>5</v>
      </c>
      <c r="B8" s="4" t="s">
        <v>20</v>
      </c>
      <c r="C8" s="4" t="s">
        <v>21</v>
      </c>
      <c r="D8" s="4" t="s">
        <v>12</v>
      </c>
      <c r="E8" s="4" t="s">
        <v>9</v>
      </c>
      <c r="F8" s="4">
        <f t="shared" si="0"/>
        <v>9.5040057474317426E-3</v>
      </c>
      <c r="G8" s="4">
        <f t="shared" si="1"/>
        <v>3.5415512500411072E-3</v>
      </c>
      <c r="H8" s="4" t="str">
        <f t="shared" si="2"/>
        <v>F</v>
      </c>
      <c r="I8" s="4">
        <f t="shared" si="3"/>
        <v>1</v>
      </c>
      <c r="L8" s="4" t="s">
        <v>30</v>
      </c>
      <c r="T8" s="6" t="s">
        <v>14</v>
      </c>
      <c r="U8" s="6" t="s">
        <v>24</v>
      </c>
    </row>
    <row r="9" spans="1:29" x14ac:dyDescent="0.3">
      <c r="A9" s="4" t="s">
        <v>13</v>
      </c>
      <c r="B9" s="4" t="s">
        <v>20</v>
      </c>
      <c r="C9" s="4" t="s">
        <v>16</v>
      </c>
      <c r="D9" s="4" t="s">
        <v>17</v>
      </c>
      <c r="E9" s="4" t="s">
        <v>9</v>
      </c>
      <c r="F9" s="4">
        <f t="shared" si="0"/>
        <v>2.1375791473462395E-3</v>
      </c>
      <c r="G9" s="4">
        <f t="shared" si="1"/>
        <v>4.856984571484948E-4</v>
      </c>
      <c r="H9" s="4" t="str">
        <f t="shared" si="2"/>
        <v>F</v>
      </c>
      <c r="I9" s="4">
        <f t="shared" si="3"/>
        <v>1</v>
      </c>
      <c r="L9" s="4" t="s">
        <v>50</v>
      </c>
      <c r="M9" s="4">
        <v>0.60606060606060608</v>
      </c>
      <c r="N9" s="4" t="s">
        <v>45</v>
      </c>
      <c r="O9" s="4">
        <v>0.51515151515151514</v>
      </c>
      <c r="U9" s="6" t="s">
        <v>6</v>
      </c>
    </row>
    <row r="10" spans="1:29" x14ac:dyDescent="0.3">
      <c r="A10" s="4" t="s">
        <v>13</v>
      </c>
      <c r="B10" s="4" t="s">
        <v>6</v>
      </c>
      <c r="C10" s="4" t="s">
        <v>22</v>
      </c>
      <c r="D10" s="4" t="s">
        <v>8</v>
      </c>
      <c r="E10" s="4" t="s">
        <v>9</v>
      </c>
      <c r="F10" s="4">
        <f t="shared" si="0"/>
        <v>1.8416066500213759E-3</v>
      </c>
      <c r="G10" s="4">
        <f t="shared" si="1"/>
        <v>3.0356153571780924E-4</v>
      </c>
      <c r="H10" s="4" t="str">
        <f t="shared" si="2"/>
        <v>F</v>
      </c>
      <c r="I10" s="4">
        <f t="shared" si="3"/>
        <v>1</v>
      </c>
      <c r="L10" s="4" t="s">
        <v>48</v>
      </c>
      <c r="M10" s="4">
        <v>0.12121212121212122</v>
      </c>
      <c r="N10" s="4" t="s">
        <v>46</v>
      </c>
      <c r="O10" s="4">
        <v>9.0909090909090912E-2</v>
      </c>
      <c r="R10" s="4" t="s">
        <v>72</v>
      </c>
      <c r="Y10" s="4" t="s">
        <v>75</v>
      </c>
    </row>
    <row r="11" spans="1:29" x14ac:dyDescent="0.3">
      <c r="A11" s="4" t="s">
        <v>10</v>
      </c>
      <c r="B11" s="4" t="s">
        <v>20</v>
      </c>
      <c r="C11" s="4" t="s">
        <v>14</v>
      </c>
      <c r="D11" s="4" t="s">
        <v>12</v>
      </c>
      <c r="E11" s="4" t="s">
        <v>9</v>
      </c>
      <c r="F11" s="4">
        <f t="shared" si="0"/>
        <v>1.6771774848408959E-3</v>
      </c>
      <c r="G11" s="4">
        <f t="shared" si="1"/>
        <v>4.0474871429041227E-4</v>
      </c>
      <c r="H11" s="4" t="str">
        <f t="shared" si="2"/>
        <v>F</v>
      </c>
      <c r="I11" s="4">
        <f t="shared" si="3"/>
        <v>1</v>
      </c>
      <c r="L11" s="4" t="s">
        <v>49</v>
      </c>
      <c r="M11" s="4">
        <v>0.27272727272727271</v>
      </c>
      <c r="N11" s="4" t="s">
        <v>47</v>
      </c>
      <c r="O11" s="4">
        <v>0.39393939393939392</v>
      </c>
      <c r="R11" s="4">
        <v>0.5</v>
      </c>
      <c r="S11" s="4">
        <f>IF(A2=$R$3,$O$9,IF(A2=$R$4,$O$10,IF(A2=$R$5,$O$11)))</f>
        <v>0.51515151515151514</v>
      </c>
      <c r="T11" s="4">
        <f>IF(B2=$U$3,$O$14,IF(B2=$U$4,$O$15,IF(B2=$U$5,$O$16,IF(B2=$U$6,$O$17,IF(B2=$U$7,$O$18,IF(B2=$U$8,$O$19,IF(B2=$U$9,O20)))))))</f>
        <v>0.30303030303030304</v>
      </c>
      <c r="U11" s="4">
        <f>IF(C2=$T$3,$O$23,IF(C2=$T$4,$O$24,IF(C2=$T$5,$O$25,IF(C2=$T$6,$O$26,IF(C2=$T$7,$O$27,IF(C2=$T$8,$O$28))))))</f>
        <v>0.12121212121212122</v>
      </c>
      <c r="V11" s="4">
        <f>IF(D2=$S$3,$O$31,IF(D2=$S$4,$O$32,IF(D2=$S$5,$O$33,IF(D2=$S$6,$O$34))))</f>
        <v>0.24242424242424243</v>
      </c>
      <c r="Y11" s="4">
        <v>0.5</v>
      </c>
      <c r="Z11" s="4">
        <f>IF(A2=$R$3,$M$9,IF(A2=$R$4,$M$10,IF(A2=$R$5,$M$11)))</f>
        <v>0.60606060606060608</v>
      </c>
      <c r="AA11" s="4">
        <f>IF(B2=$U$3,$M$14,IF(B2=$U$4,$M$15,IF(B2=$U$5,$M$16,IF(B2=$U$6,$M$17,IF(B2=$U$7,$M$18,IF(B2=$U$8,$M$19,IF(B2=$U$9,M20)))))))</f>
        <v>0.27272727272727271</v>
      </c>
      <c r="AB11" s="4">
        <f>IF(C2=$T$3,$M$23,IF(C2=$T$4,$M$24,IF(C2=$T$5,$M$25,IF(C2=$T$6,$M$26,IF(C2=$T$7,$M$27,IF(C2=$T$8,$M$28))))))</f>
        <v>0.15151515151515152</v>
      </c>
      <c r="AC11" s="4">
        <f>IF(D2=$S$3,$M$31,IF(D2=$S$4,$M$32,IF(D2=$S$5,$M$33,IF(D2=$S$6,$M$34))))</f>
        <v>0.15151515151515152</v>
      </c>
    </row>
    <row r="12" spans="1:29" x14ac:dyDescent="0.3">
      <c r="A12" s="4" t="s">
        <v>5</v>
      </c>
      <c r="B12" s="4" t="s">
        <v>20</v>
      </c>
      <c r="C12" s="4" t="s">
        <v>22</v>
      </c>
      <c r="D12" s="4" t="s">
        <v>8</v>
      </c>
      <c r="E12" s="4" t="s">
        <v>9</v>
      </c>
      <c r="F12" s="4">
        <f t="shared" si="0"/>
        <v>5.2178855083938984E-3</v>
      </c>
      <c r="G12" s="4">
        <f t="shared" si="1"/>
        <v>6.7458119048402043E-4</v>
      </c>
      <c r="H12" s="4" t="str">
        <f t="shared" si="2"/>
        <v>F</v>
      </c>
      <c r="I12" s="4">
        <f t="shared" si="3"/>
        <v>1</v>
      </c>
      <c r="R12" s="4">
        <v>0.5</v>
      </c>
      <c r="S12" s="4">
        <f>IF(A3=$R$3,$O$9,IF(A3=$R$4,$O$10,IF(A3=$R$5,$O$11)))</f>
        <v>9.0909090909090912E-2</v>
      </c>
      <c r="T12" s="4">
        <f t="shared" ref="T12:T73" si="4">IF(B3=$U$3,$O$14,IF(B3=$U$4,$O$15,IF(B3=$U$5,$O$16,IF(B3=$U$6,$O$17,IF(B3=$U$7,$O$18,IF(B3=$U$8,$O$19,IF(B3=$U$9,O21)))))))</f>
        <v>3.0303030303030304E-2</v>
      </c>
      <c r="U12" s="4">
        <f t="shared" ref="U12:U73" si="5">IF(C3=$T$3,$O$23,IF(C3=$T$4,$O$24,IF(C3=$T$5,$O$25,IF(C3=$T$6,$O$26,IF(C3=$T$7,$O$27,IF(C3=$T$8,$O$28))))))</f>
        <v>0.12121212121212122</v>
      </c>
      <c r="V12" s="4">
        <f t="shared" ref="V12:V73" si="6">IF(D3=$S$3,$O$31,IF(D3=$S$4,$O$32,IF(D3=$S$5,$O$33,IF(D3=$S$6,$O$34))))</f>
        <v>0.51515151515151514</v>
      </c>
      <c r="Y12" s="4">
        <v>0.5</v>
      </c>
      <c r="Z12" s="4">
        <f t="shared" ref="Z12:Z73" si="7">IF(A3=$R$3,$M$9,IF(A3=$R$4,$M$10,IF(A3=$R$5,$M$11)))</f>
        <v>0.12121212121212122</v>
      </c>
      <c r="AA12" s="4">
        <f t="shared" ref="AA12:AA73" si="8">IF(B3=$U$3,$M$14,IF(B3=$U$4,$M$15,IF(B3=$U$5,$M$16,IF(B3=$U$6,$M$17,IF(B3=$U$7,$M$18,IF(B3=$U$8,$M$19,IF(B3=$U$9,M21)))))))</f>
        <v>0.21212121212121213</v>
      </c>
      <c r="AB12" s="4">
        <f t="shared" ref="AB12:AB73" si="9">IF(C3=$T$3,$M$23,IF(C3=$T$4,$M$24,IF(C3=$T$5,$M$25,IF(C3=$T$6,$M$26,IF(C3=$T$7,$M$27,IF(C3=$T$8,$M$28))))))</f>
        <v>0.15151515151515152</v>
      </c>
      <c r="AC12" s="4">
        <f t="shared" ref="AC12:AC73" si="10">IF(D3=$S$3,$M$31,IF(D3=$S$4,$M$32,IF(D3=$S$5,$M$33,IF(D3=$S$6,$M$34))))</f>
        <v>0.45454545454545453</v>
      </c>
    </row>
    <row r="13" spans="1:29" x14ac:dyDescent="0.3">
      <c r="A13" s="4" t="s">
        <v>13</v>
      </c>
      <c r="B13" s="4" t="s">
        <v>20</v>
      </c>
      <c r="C13" s="4" t="s">
        <v>22</v>
      </c>
      <c r="D13" s="4" t="s">
        <v>8</v>
      </c>
      <c r="E13" s="4" t="s">
        <v>9</v>
      </c>
      <c r="F13" s="4">
        <f t="shared" si="0"/>
        <v>3.9901477417129813E-3</v>
      </c>
      <c r="G13" s="4">
        <f t="shared" si="1"/>
        <v>3.0356153571780924E-4</v>
      </c>
      <c r="H13" s="4" t="str">
        <f t="shared" si="2"/>
        <v>F</v>
      </c>
      <c r="I13" s="4">
        <f t="shared" si="3"/>
        <v>1</v>
      </c>
      <c r="L13" s="4" t="s">
        <v>1</v>
      </c>
      <c r="R13" s="4">
        <v>0.5</v>
      </c>
      <c r="S13" s="4">
        <f t="shared" ref="S12:S73" si="11">IF(A4=$R$3,$O$9,IF(A4=$R$4,$O$10,IF(A4=$R$5,$O$11)))</f>
        <v>0.39393939393939392</v>
      </c>
      <c r="T13" s="4">
        <f t="shared" si="4"/>
        <v>0</v>
      </c>
      <c r="U13" s="4">
        <f t="shared" si="5"/>
        <v>0.18181818181818182</v>
      </c>
      <c r="V13" s="4">
        <f t="shared" si="6"/>
        <v>0.51515151515151514</v>
      </c>
      <c r="Y13" s="4">
        <v>0.5</v>
      </c>
      <c r="Z13" s="4">
        <f t="shared" si="7"/>
        <v>0.27272727272727271</v>
      </c>
      <c r="AA13" s="4">
        <f t="shared" si="8"/>
        <v>0</v>
      </c>
      <c r="AB13" s="4">
        <f t="shared" si="9"/>
        <v>0.12121212121212122</v>
      </c>
      <c r="AC13" s="4">
        <f t="shared" si="10"/>
        <v>0.45454545454545453</v>
      </c>
    </row>
    <row r="14" spans="1:29" x14ac:dyDescent="0.3">
      <c r="A14" s="4" t="s">
        <v>13</v>
      </c>
      <c r="B14" s="4" t="s">
        <v>20</v>
      </c>
      <c r="C14" s="4" t="s">
        <v>14</v>
      </c>
      <c r="D14" s="4" t="s">
        <v>8</v>
      </c>
      <c r="E14" s="4" t="s">
        <v>9</v>
      </c>
      <c r="F14" s="4">
        <f t="shared" si="0"/>
        <v>3.4201266357539836E-3</v>
      </c>
      <c r="G14" s="4">
        <f t="shared" si="1"/>
        <v>3.0356153571780924E-4</v>
      </c>
      <c r="H14" s="4" t="str">
        <f t="shared" si="2"/>
        <v>F</v>
      </c>
      <c r="I14" s="4">
        <f t="shared" si="3"/>
        <v>1</v>
      </c>
      <c r="L14" s="5" t="s">
        <v>31</v>
      </c>
      <c r="M14" s="4">
        <v>0.18181818181818182</v>
      </c>
      <c r="N14" s="5" t="s">
        <v>38</v>
      </c>
      <c r="O14" s="4">
        <v>6.0606060606060608E-2</v>
      </c>
      <c r="R14" s="4">
        <v>0.5</v>
      </c>
      <c r="S14" s="4">
        <f t="shared" si="11"/>
        <v>0.39393939393939392</v>
      </c>
      <c r="T14" s="4">
        <f t="shared" si="4"/>
        <v>6.0606060606060608E-2</v>
      </c>
      <c r="U14" s="4">
        <f t="shared" si="5"/>
        <v>0.15151515151515152</v>
      </c>
      <c r="V14" s="4">
        <f t="shared" si="6"/>
        <v>0.18181818181818182</v>
      </c>
      <c r="Y14" s="4">
        <v>0.5</v>
      </c>
      <c r="Z14" s="4">
        <f t="shared" si="7"/>
        <v>0.27272727272727271</v>
      </c>
      <c r="AA14" s="4">
        <f t="shared" si="8"/>
        <v>6.0606060606060608E-2</v>
      </c>
      <c r="AB14" s="4">
        <f t="shared" si="9"/>
        <v>0.12121212121212122</v>
      </c>
      <c r="AC14" s="4">
        <f t="shared" si="10"/>
        <v>0.24242424242424243</v>
      </c>
    </row>
    <row r="15" spans="1:29" x14ac:dyDescent="0.3">
      <c r="A15" s="4" t="s">
        <v>13</v>
      </c>
      <c r="B15" s="4" t="s">
        <v>23</v>
      </c>
      <c r="C15" s="4" t="s">
        <v>14</v>
      </c>
      <c r="D15" s="4" t="s">
        <v>12</v>
      </c>
      <c r="E15" s="4" t="s">
        <v>9</v>
      </c>
      <c r="F15" s="4">
        <f t="shared" si="0"/>
        <v>1.1181183232272637E-3</v>
      </c>
      <c r="G15" s="4">
        <f t="shared" si="1"/>
        <v>1.3660269107301413E-3</v>
      </c>
      <c r="H15" s="4" t="str">
        <f t="shared" si="2"/>
        <v>M</v>
      </c>
      <c r="I15" s="4">
        <f t="shared" si="3"/>
        <v>0</v>
      </c>
      <c r="L15" s="5" t="s">
        <v>32</v>
      </c>
      <c r="M15" s="4">
        <v>6.0606060606060608E-2</v>
      </c>
      <c r="N15" s="5" t="s">
        <v>39</v>
      </c>
      <c r="O15" s="4">
        <v>6.0606060606060608E-2</v>
      </c>
      <c r="R15" s="4">
        <v>0.5</v>
      </c>
      <c r="S15" s="4">
        <f t="shared" si="11"/>
        <v>0.51515151515151514</v>
      </c>
      <c r="T15" s="4">
        <f t="shared" si="4"/>
        <v>0.15151515151515152</v>
      </c>
      <c r="U15" s="4">
        <f t="shared" si="5"/>
        <v>0.12121212121212122</v>
      </c>
      <c r="V15" s="4">
        <f t="shared" si="6"/>
        <v>0.51515151515151514</v>
      </c>
      <c r="Y15" s="4">
        <v>0.5</v>
      </c>
      <c r="Z15" s="4">
        <f t="shared" si="7"/>
        <v>0.60606060606060608</v>
      </c>
      <c r="AA15" s="4">
        <f t="shared" si="8"/>
        <v>0.27272727272727271</v>
      </c>
      <c r="AB15" s="4">
        <f t="shared" si="9"/>
        <v>0.15151515151515152</v>
      </c>
      <c r="AC15" s="4">
        <f t="shared" si="10"/>
        <v>0.45454545454545453</v>
      </c>
    </row>
    <row r="16" spans="1:29" x14ac:dyDescent="0.3">
      <c r="A16" s="4" t="s">
        <v>5</v>
      </c>
      <c r="B16" s="4" t="s">
        <v>6</v>
      </c>
      <c r="C16" s="4" t="s">
        <v>21</v>
      </c>
      <c r="D16" s="4" t="s">
        <v>12</v>
      </c>
      <c r="E16" s="4" t="s">
        <v>9</v>
      </c>
      <c r="F16" s="4">
        <f t="shared" si="0"/>
        <v>1.4621547303741143E-3</v>
      </c>
      <c r="G16" s="4">
        <f t="shared" si="1"/>
        <v>4.4269390625513846E-3</v>
      </c>
      <c r="H16" s="4" t="str">
        <f t="shared" si="2"/>
        <v>M</v>
      </c>
      <c r="I16" s="4">
        <f t="shared" si="3"/>
        <v>0</v>
      </c>
      <c r="L16" s="5" t="s">
        <v>33</v>
      </c>
      <c r="M16" s="4">
        <v>0.21212121212121213</v>
      </c>
      <c r="N16" s="5" t="s">
        <v>40</v>
      </c>
      <c r="O16" s="4">
        <v>3.0303030303030304E-2</v>
      </c>
      <c r="R16" s="4">
        <v>0.5</v>
      </c>
      <c r="S16" s="4">
        <f t="shared" si="11"/>
        <v>0.39393939393939392</v>
      </c>
      <c r="T16" s="4">
        <f t="shared" si="4"/>
        <v>9.0909090909090912E-2</v>
      </c>
      <c r="U16" s="4">
        <f t="shared" si="5"/>
        <v>0.15151515151515152</v>
      </c>
      <c r="V16" s="4">
        <f t="shared" si="6"/>
        <v>0.18181818181818182</v>
      </c>
      <c r="Y16" s="4">
        <v>0.5</v>
      </c>
      <c r="Z16" s="4">
        <f t="shared" si="7"/>
        <v>0.27272727272727271</v>
      </c>
      <c r="AA16" s="4">
        <f t="shared" si="8"/>
        <v>3.0303030303030304E-2</v>
      </c>
      <c r="AB16" s="4">
        <f t="shared" si="9"/>
        <v>0.27272727272727271</v>
      </c>
      <c r="AC16" s="4">
        <f t="shared" si="10"/>
        <v>0.24242424242424243</v>
      </c>
    </row>
    <row r="17" spans="1:29" x14ac:dyDescent="0.3">
      <c r="A17" s="4" t="s">
        <v>13</v>
      </c>
      <c r="B17" s="4" t="s">
        <v>18</v>
      </c>
      <c r="C17" s="4" t="s">
        <v>14</v>
      </c>
      <c r="D17" s="4" t="s">
        <v>12</v>
      </c>
      <c r="E17" s="4" t="s">
        <v>9</v>
      </c>
      <c r="F17" s="4">
        <f t="shared" si="0"/>
        <v>1.6771774848408959E-3</v>
      </c>
      <c r="G17" s="4">
        <f t="shared" si="1"/>
        <v>2.2767115178835693E-4</v>
      </c>
      <c r="H17" s="4" t="str">
        <f t="shared" si="2"/>
        <v>F</v>
      </c>
      <c r="I17" s="4">
        <f t="shared" si="3"/>
        <v>1</v>
      </c>
      <c r="L17" s="5" t="s">
        <v>34</v>
      </c>
      <c r="M17" s="4">
        <v>3.0303030303030304E-2</v>
      </c>
      <c r="N17" s="5" t="s">
        <v>41</v>
      </c>
      <c r="O17" s="4">
        <v>9.0909090909090912E-2</v>
      </c>
      <c r="R17" s="4">
        <v>0.5</v>
      </c>
      <c r="S17" s="4">
        <f t="shared" si="11"/>
        <v>0.51515151515151514</v>
      </c>
      <c r="T17" s="4">
        <f t="shared" si="4"/>
        <v>0.39393939393939392</v>
      </c>
      <c r="U17" s="4">
        <f t="shared" si="5"/>
        <v>0.18181818181818182</v>
      </c>
      <c r="V17" s="4">
        <f t="shared" si="6"/>
        <v>0.51515151515151514</v>
      </c>
      <c r="Y17" s="4">
        <v>0.5</v>
      </c>
      <c r="Z17" s="4">
        <f t="shared" si="7"/>
        <v>0.60606060606060608</v>
      </c>
      <c r="AA17" s="4">
        <f t="shared" si="8"/>
        <v>0.12121212121212122</v>
      </c>
      <c r="AB17" s="4">
        <f t="shared" si="9"/>
        <v>0.21212121212121213</v>
      </c>
      <c r="AC17" s="4">
        <f t="shared" si="10"/>
        <v>0.45454545454545453</v>
      </c>
    </row>
    <row r="18" spans="1:29" x14ac:dyDescent="0.3">
      <c r="A18" s="4" t="s">
        <v>5</v>
      </c>
      <c r="B18" s="4" t="s">
        <v>20</v>
      </c>
      <c r="C18" s="4" t="s">
        <v>14</v>
      </c>
      <c r="D18" s="4" t="s">
        <v>8</v>
      </c>
      <c r="E18" s="4" t="s">
        <v>9</v>
      </c>
      <c r="F18" s="4">
        <f t="shared" si="0"/>
        <v>4.4724732929090549E-3</v>
      </c>
      <c r="G18" s="4">
        <f t="shared" si="1"/>
        <v>6.7458119048402043E-4</v>
      </c>
      <c r="H18" s="4" t="str">
        <f t="shared" si="2"/>
        <v>F</v>
      </c>
      <c r="I18" s="4">
        <f t="shared" si="3"/>
        <v>1</v>
      </c>
      <c r="L18" s="5" t="s">
        <v>35</v>
      </c>
      <c r="M18" s="4">
        <v>0.12121212121212122</v>
      </c>
      <c r="N18" s="5" t="s">
        <v>42</v>
      </c>
      <c r="O18" s="4">
        <v>0.39393939393939392</v>
      </c>
      <c r="R18" s="4">
        <v>0.5</v>
      </c>
      <c r="S18" s="4">
        <f t="shared" si="11"/>
        <v>0.39393939393939392</v>
      </c>
      <c r="T18" s="4">
        <f t="shared" si="4"/>
        <v>0.39393939393939392</v>
      </c>
      <c r="U18" s="4">
        <f t="shared" si="5"/>
        <v>0.15151515151515152</v>
      </c>
      <c r="V18" s="4">
        <f t="shared" si="6"/>
        <v>0.18181818181818182</v>
      </c>
      <c r="Y18" s="4">
        <v>0.5</v>
      </c>
      <c r="Z18" s="4">
        <f t="shared" si="7"/>
        <v>0.27272727272727271</v>
      </c>
      <c r="AA18" s="4">
        <f t="shared" si="8"/>
        <v>0.12121212121212122</v>
      </c>
      <c r="AB18" s="4">
        <f t="shared" si="9"/>
        <v>0.12121212121212122</v>
      </c>
      <c r="AC18" s="4">
        <f t="shared" si="10"/>
        <v>0.24242424242424243</v>
      </c>
    </row>
    <row r="19" spans="1:29" x14ac:dyDescent="0.3">
      <c r="A19" s="4" t="s">
        <v>5</v>
      </c>
      <c r="B19" s="4" t="s">
        <v>6</v>
      </c>
      <c r="C19" s="4" t="s">
        <v>22</v>
      </c>
      <c r="D19" s="4" t="s">
        <v>12</v>
      </c>
      <c r="E19" s="4" t="s">
        <v>9</v>
      </c>
      <c r="F19" s="4">
        <f t="shared" si="0"/>
        <v>0</v>
      </c>
      <c r="G19" s="4">
        <f t="shared" si="1"/>
        <v>0</v>
      </c>
      <c r="H19" s="4" t="str">
        <f t="shared" si="2"/>
        <v>M</v>
      </c>
      <c r="I19" s="4">
        <f t="shared" si="3"/>
        <v>0</v>
      </c>
      <c r="L19" s="5" t="s">
        <v>36</v>
      </c>
      <c r="M19" s="4">
        <f>4/33</f>
        <v>0.12121212121212122</v>
      </c>
      <c r="N19" s="5" t="s">
        <v>43</v>
      </c>
      <c r="O19" s="4">
        <v>6.0606060606060608E-2</v>
      </c>
      <c r="R19" s="4">
        <v>0.5</v>
      </c>
      <c r="S19" s="4">
        <f t="shared" si="11"/>
        <v>0.39393939393939392</v>
      </c>
      <c r="T19" s="4">
        <f t="shared" si="4"/>
        <v>0.18181818181818182</v>
      </c>
      <c r="U19" s="4">
        <f t="shared" si="5"/>
        <v>0.21212121212121213</v>
      </c>
      <c r="V19" s="4">
        <f t="shared" si="6"/>
        <v>0.24242424242424243</v>
      </c>
      <c r="Y19" s="4">
        <v>0.5</v>
      </c>
      <c r="Z19" s="4">
        <f t="shared" si="7"/>
        <v>0.27272727272727271</v>
      </c>
      <c r="AA19" s="4">
        <f t="shared" si="8"/>
        <v>0.12121212121212122</v>
      </c>
      <c r="AB19" s="4">
        <f t="shared" si="9"/>
        <v>0.12121212121212122</v>
      </c>
      <c r="AC19" s="4">
        <f t="shared" si="10"/>
        <v>0.15151515151515152</v>
      </c>
    </row>
    <row r="20" spans="1:29" x14ac:dyDescent="0.3">
      <c r="A20" s="4" t="s">
        <v>5</v>
      </c>
      <c r="B20" s="4" t="s">
        <v>6</v>
      </c>
      <c r="C20" s="4" t="s">
        <v>22</v>
      </c>
      <c r="D20" s="4" t="s">
        <v>12</v>
      </c>
      <c r="E20" s="4" t="s">
        <v>9</v>
      </c>
      <c r="F20" s="4">
        <f t="shared" si="0"/>
        <v>0</v>
      </c>
      <c r="G20" s="4">
        <f t="shared" si="1"/>
        <v>0</v>
      </c>
      <c r="H20" s="4" t="str">
        <f t="shared" si="2"/>
        <v>M</v>
      </c>
      <c r="I20" s="4">
        <f t="shared" si="3"/>
        <v>0</v>
      </c>
      <c r="L20" s="5" t="s">
        <v>37</v>
      </c>
      <c r="M20" s="4">
        <v>0.27272727272727271</v>
      </c>
      <c r="N20" s="5" t="s">
        <v>44</v>
      </c>
      <c r="O20" s="4">
        <v>0.30303030303030304</v>
      </c>
      <c r="R20" s="4">
        <v>0.5</v>
      </c>
      <c r="S20" s="4">
        <f t="shared" si="11"/>
        <v>9.0909090909090912E-2</v>
      </c>
      <c r="T20" s="4">
        <f t="shared" si="4"/>
        <v>0.39393939393939392</v>
      </c>
      <c r="U20" s="4">
        <f t="shared" si="5"/>
        <v>0.18181818181818182</v>
      </c>
      <c r="V20" s="4">
        <f t="shared" si="6"/>
        <v>0.51515151515151514</v>
      </c>
      <c r="Y20" s="4">
        <v>0.5</v>
      </c>
      <c r="Z20" s="4">
        <f t="shared" si="7"/>
        <v>0.12121212121212122</v>
      </c>
      <c r="AA20" s="4">
        <f t="shared" si="8"/>
        <v>0.12121212121212122</v>
      </c>
      <c r="AB20" s="4">
        <f t="shared" si="9"/>
        <v>0.12121212121212122</v>
      </c>
      <c r="AC20" s="4">
        <f t="shared" si="10"/>
        <v>0.45454545454545453</v>
      </c>
    </row>
    <row r="21" spans="1:29" x14ac:dyDescent="0.3">
      <c r="A21" s="4" t="s">
        <v>5</v>
      </c>
      <c r="B21" s="4" t="s">
        <v>20</v>
      </c>
      <c r="C21" s="4" t="s">
        <v>19</v>
      </c>
      <c r="D21" s="4" t="s">
        <v>8</v>
      </c>
      <c r="E21" s="4" t="s">
        <v>9</v>
      </c>
      <c r="F21" s="4">
        <f t="shared" si="0"/>
        <v>3.7270610774242127E-3</v>
      </c>
      <c r="G21" s="4">
        <f t="shared" si="1"/>
        <v>1.5178076785890458E-3</v>
      </c>
      <c r="H21" s="4" t="str">
        <f t="shared" si="2"/>
        <v>F</v>
      </c>
      <c r="I21" s="4">
        <f t="shared" si="3"/>
        <v>1</v>
      </c>
      <c r="R21" s="4">
        <v>0.5</v>
      </c>
      <c r="S21" s="4">
        <f t="shared" si="11"/>
        <v>0.51515151515151514</v>
      </c>
      <c r="T21" s="4">
        <f t="shared" si="4"/>
        <v>0.39393939393939392</v>
      </c>
      <c r="U21" s="4">
        <f t="shared" si="5"/>
        <v>0.21212121212121213</v>
      </c>
      <c r="V21" s="4">
        <f t="shared" si="6"/>
        <v>0.24242424242424243</v>
      </c>
      <c r="Y21" s="4">
        <v>0.5</v>
      </c>
      <c r="Z21" s="4">
        <f t="shared" si="7"/>
        <v>0.60606060606060608</v>
      </c>
      <c r="AA21" s="4">
        <f t="shared" si="8"/>
        <v>0.12121212121212122</v>
      </c>
      <c r="AB21" s="4">
        <f t="shared" si="9"/>
        <v>0.12121212121212122</v>
      </c>
      <c r="AC21" s="4">
        <f t="shared" si="10"/>
        <v>0.15151515151515152</v>
      </c>
    </row>
    <row r="22" spans="1:29" x14ac:dyDescent="0.3">
      <c r="A22" s="4" t="s">
        <v>5</v>
      </c>
      <c r="B22" s="4" t="s">
        <v>20</v>
      </c>
      <c r="C22" s="4" t="s">
        <v>21</v>
      </c>
      <c r="D22" s="4" t="s">
        <v>17</v>
      </c>
      <c r="E22" s="4" t="s">
        <v>9</v>
      </c>
      <c r="F22" s="4">
        <f t="shared" si="0"/>
        <v>3.3543549696817914E-3</v>
      </c>
      <c r="G22" s="4">
        <f t="shared" si="1"/>
        <v>1.8888273333552573E-3</v>
      </c>
      <c r="H22" s="4" t="str">
        <f t="shared" si="2"/>
        <v>F</v>
      </c>
      <c r="I22" s="4">
        <f t="shared" si="3"/>
        <v>1</v>
      </c>
      <c r="L22" s="4" t="s">
        <v>2</v>
      </c>
      <c r="R22" s="4">
        <v>0.5</v>
      </c>
      <c r="S22" s="4">
        <f t="shared" si="11"/>
        <v>0.39393939393939392</v>
      </c>
      <c r="T22" s="4">
        <f t="shared" si="4"/>
        <v>0.39393939393939392</v>
      </c>
      <c r="U22" s="4">
        <f t="shared" si="5"/>
        <v>0.21212121212121213</v>
      </c>
      <c r="V22" s="4">
        <f t="shared" si="6"/>
        <v>0.24242424242424243</v>
      </c>
      <c r="Y22" s="4">
        <v>0.5</v>
      </c>
      <c r="Z22" s="4">
        <f t="shared" si="7"/>
        <v>0.27272727272727271</v>
      </c>
      <c r="AA22" s="4">
        <f t="shared" si="8"/>
        <v>0.12121212121212122</v>
      </c>
      <c r="AB22" s="4">
        <f t="shared" si="9"/>
        <v>0.12121212121212122</v>
      </c>
      <c r="AC22" s="4">
        <f t="shared" si="10"/>
        <v>0.15151515151515152</v>
      </c>
    </row>
    <row r="23" spans="1:29" x14ac:dyDescent="0.3">
      <c r="A23" s="4" t="s">
        <v>13</v>
      </c>
      <c r="B23" s="4" t="s">
        <v>18</v>
      </c>
      <c r="C23" s="4" t="s">
        <v>16</v>
      </c>
      <c r="D23" s="4" t="s">
        <v>17</v>
      </c>
      <c r="E23" s="4" t="s">
        <v>9</v>
      </c>
      <c r="F23" s="4">
        <f t="shared" si="0"/>
        <v>4.9328749554143994E-4</v>
      </c>
      <c r="G23" s="4">
        <f t="shared" si="1"/>
        <v>1.214246142871237E-4</v>
      </c>
      <c r="H23" s="4" t="str">
        <f t="shared" si="2"/>
        <v>F</v>
      </c>
      <c r="I23" s="4">
        <f t="shared" si="3"/>
        <v>1</v>
      </c>
      <c r="L23" s="5" t="s">
        <v>51</v>
      </c>
      <c r="M23" s="4">
        <v>0.21212121212121213</v>
      </c>
      <c r="N23" s="5" t="s">
        <v>52</v>
      </c>
      <c r="O23" s="4">
        <v>0.18181818181818182</v>
      </c>
      <c r="R23" s="4">
        <v>0.5</v>
      </c>
      <c r="S23" s="4">
        <f t="shared" si="11"/>
        <v>0.39393939393939392</v>
      </c>
      <c r="T23" s="4">
        <f t="shared" si="4"/>
        <v>0.39393939393939392</v>
      </c>
      <c r="U23" s="4">
        <f t="shared" si="5"/>
        <v>0.18181818181818182</v>
      </c>
      <c r="V23" s="4">
        <f t="shared" si="6"/>
        <v>0.24242424242424243</v>
      </c>
      <c r="Y23" s="4">
        <v>0.5</v>
      </c>
      <c r="Z23" s="4">
        <f t="shared" si="7"/>
        <v>0.27272727272727271</v>
      </c>
      <c r="AA23" s="4">
        <f t="shared" si="8"/>
        <v>0.12121212121212122</v>
      </c>
      <c r="AB23" s="4">
        <f t="shared" si="9"/>
        <v>0.12121212121212122</v>
      </c>
      <c r="AC23" s="4">
        <f t="shared" si="10"/>
        <v>0.15151515151515152</v>
      </c>
    </row>
    <row r="24" spans="1:29" x14ac:dyDescent="0.3">
      <c r="A24" s="4" t="s">
        <v>5</v>
      </c>
      <c r="B24" s="4" t="s">
        <v>6</v>
      </c>
      <c r="C24" s="4" t="s">
        <v>7</v>
      </c>
      <c r="D24" s="4" t="s">
        <v>12</v>
      </c>
      <c r="E24" s="4" t="s">
        <v>9</v>
      </c>
      <c r="F24" s="4">
        <f t="shared" si="0"/>
        <v>0</v>
      </c>
      <c r="G24" s="4">
        <f t="shared" si="1"/>
        <v>0</v>
      </c>
      <c r="H24" s="4" t="str">
        <f t="shared" si="2"/>
        <v>M</v>
      </c>
      <c r="I24" s="4">
        <f t="shared" si="3"/>
        <v>0</v>
      </c>
      <c r="L24" s="5" t="s">
        <v>53</v>
      </c>
      <c r="M24" s="4">
        <v>0.27272727272727271</v>
      </c>
      <c r="N24" s="5" t="s">
        <v>58</v>
      </c>
      <c r="O24" s="4">
        <v>0.15151515151515152</v>
      </c>
      <c r="R24" s="4">
        <v>0.5</v>
      </c>
      <c r="S24" s="4">
        <f t="shared" si="11"/>
        <v>0.39393939393939392</v>
      </c>
      <c r="T24" s="4">
        <f t="shared" si="4"/>
        <v>6.0606060606060608E-2</v>
      </c>
      <c r="U24" s="4">
        <f t="shared" si="5"/>
        <v>0.18181818181818182</v>
      </c>
      <c r="V24" s="4">
        <f t="shared" si="6"/>
        <v>0.51515151515151514</v>
      </c>
      <c r="Y24" s="4">
        <v>0.5</v>
      </c>
      <c r="Z24" s="4">
        <f t="shared" si="7"/>
        <v>0.27272727272727271</v>
      </c>
      <c r="AA24" s="4">
        <f t="shared" si="8"/>
        <v>0.18181818181818182</v>
      </c>
      <c r="AB24" s="4">
        <f t="shared" si="9"/>
        <v>0.12121212121212122</v>
      </c>
      <c r="AC24" s="4">
        <f t="shared" si="10"/>
        <v>0.45454545454545453</v>
      </c>
    </row>
    <row r="25" spans="1:29" x14ac:dyDescent="0.3">
      <c r="A25" s="4" t="s">
        <v>13</v>
      </c>
      <c r="B25" s="4" t="s">
        <v>20</v>
      </c>
      <c r="C25" s="4" t="s">
        <v>22</v>
      </c>
      <c r="D25" s="4" t="s">
        <v>12</v>
      </c>
      <c r="E25" s="4" t="s">
        <v>9</v>
      </c>
      <c r="F25" s="4">
        <f t="shared" si="0"/>
        <v>8.4790639511400836E-3</v>
      </c>
      <c r="G25" s="4">
        <f t="shared" si="1"/>
        <v>9.1068460715342772E-4</v>
      </c>
      <c r="H25" s="4" t="str">
        <f t="shared" si="2"/>
        <v>F</v>
      </c>
      <c r="I25" s="4">
        <f t="shared" si="3"/>
        <v>1</v>
      </c>
      <c r="L25" s="5" t="s">
        <v>54</v>
      </c>
      <c r="M25" s="4">
        <v>0.12121212121212122</v>
      </c>
      <c r="N25" s="5" t="s">
        <v>59</v>
      </c>
      <c r="O25" s="4">
        <v>0.21212121212121213</v>
      </c>
      <c r="R25" s="4">
        <v>0.5</v>
      </c>
      <c r="S25" s="4">
        <f t="shared" si="11"/>
        <v>0.51515151515151514</v>
      </c>
      <c r="T25" s="4">
        <f t="shared" si="4"/>
        <v>6.0606060606060608E-2</v>
      </c>
      <c r="U25" s="4">
        <f t="shared" si="5"/>
        <v>0.18181818181818182</v>
      </c>
      <c r="V25" s="4">
        <f t="shared" si="6"/>
        <v>0.51515151515151514</v>
      </c>
      <c r="Y25" s="4">
        <v>0.5</v>
      </c>
      <c r="Z25" s="4">
        <f t="shared" si="7"/>
        <v>0.60606060606060608</v>
      </c>
      <c r="AA25" s="4">
        <f t="shared" si="8"/>
        <v>0.15151515151515152</v>
      </c>
      <c r="AB25" s="4">
        <f t="shared" si="9"/>
        <v>0.21212121212121213</v>
      </c>
      <c r="AC25" s="4">
        <f t="shared" si="10"/>
        <v>0.45454545454545453</v>
      </c>
    </row>
    <row r="26" spans="1:29" x14ac:dyDescent="0.3">
      <c r="A26" s="4" t="s">
        <v>5</v>
      </c>
      <c r="B26" s="4" t="s">
        <v>15</v>
      </c>
      <c r="C26" s="4" t="s">
        <v>16</v>
      </c>
      <c r="D26" s="4" t="s">
        <v>8</v>
      </c>
      <c r="E26" s="4" t="s">
        <v>9</v>
      </c>
      <c r="F26" s="4">
        <f t="shared" si="0"/>
        <v>5.7339401191141735E-4</v>
      </c>
      <c r="G26" s="4">
        <f t="shared" si="1"/>
        <v>3.3729059524201021E-4</v>
      </c>
      <c r="H26" s="4" t="str">
        <f t="shared" si="2"/>
        <v>F</v>
      </c>
      <c r="I26" s="4">
        <f t="shared" si="3"/>
        <v>1</v>
      </c>
      <c r="L26" s="5" t="s">
        <v>55</v>
      </c>
      <c r="M26" s="4">
        <v>0.15151515151515152</v>
      </c>
      <c r="N26" s="5" t="s">
        <v>60</v>
      </c>
      <c r="O26" s="4">
        <v>0.12121212121212122</v>
      </c>
      <c r="R26" s="4">
        <v>0.5</v>
      </c>
      <c r="S26" s="4">
        <f t="shared" si="11"/>
        <v>0.39393939393939392</v>
      </c>
      <c r="T26" s="4">
        <f t="shared" si="4"/>
        <v>9.0909090909090912E-2</v>
      </c>
      <c r="U26" s="4">
        <f t="shared" si="5"/>
        <v>0.18181818181818182</v>
      </c>
      <c r="V26" s="4">
        <f t="shared" si="6"/>
        <v>0.51515151515151514</v>
      </c>
      <c r="Y26" s="4">
        <v>0.5</v>
      </c>
      <c r="Z26" s="4">
        <f t="shared" si="7"/>
        <v>0.27272727272727271</v>
      </c>
      <c r="AA26" s="4">
        <f t="shared" si="8"/>
        <v>3.0303030303030304E-2</v>
      </c>
      <c r="AB26" s="4">
        <f t="shared" si="9"/>
        <v>0.12121212121212122</v>
      </c>
      <c r="AC26" s="4">
        <f t="shared" si="10"/>
        <v>0.45454545454545453</v>
      </c>
    </row>
    <row r="27" spans="1:29" x14ac:dyDescent="0.3">
      <c r="A27" s="4" t="s">
        <v>13</v>
      </c>
      <c r="B27" s="4" t="s">
        <v>24</v>
      </c>
      <c r="C27" s="4" t="s">
        <v>16</v>
      </c>
      <c r="D27" s="4" t="s">
        <v>12</v>
      </c>
      <c r="E27" s="4" t="s">
        <v>9</v>
      </c>
      <c r="F27" s="4">
        <f t="shared" si="0"/>
        <v>9.3176526935605318E-4</v>
      </c>
      <c r="G27" s="4">
        <f t="shared" si="1"/>
        <v>9.1068460715342772E-4</v>
      </c>
      <c r="H27" s="4" t="str">
        <f t="shared" si="2"/>
        <v>F</v>
      </c>
      <c r="I27" s="4">
        <f t="shared" si="3"/>
        <v>1</v>
      </c>
      <c r="L27" s="5" t="s">
        <v>56</v>
      </c>
      <c r="M27" s="4">
        <v>0.12121212121212122</v>
      </c>
      <c r="N27" s="5" t="s">
        <v>61</v>
      </c>
      <c r="O27" s="4">
        <v>0.15151515151515152</v>
      </c>
      <c r="R27" s="4">
        <v>0.5</v>
      </c>
      <c r="S27" s="4">
        <f t="shared" si="11"/>
        <v>0.51515151515151514</v>
      </c>
      <c r="T27" s="4">
        <f t="shared" si="4"/>
        <v>0.39393939393939392</v>
      </c>
      <c r="U27" s="4">
        <f t="shared" si="5"/>
        <v>0.18181818181818182</v>
      </c>
      <c r="V27" s="4">
        <f t="shared" si="6"/>
        <v>0.24242424242424243</v>
      </c>
      <c r="Y27" s="4">
        <v>0.5</v>
      </c>
      <c r="Z27" s="4">
        <f t="shared" si="7"/>
        <v>0.60606060606060608</v>
      </c>
      <c r="AA27" s="4">
        <f t="shared" si="8"/>
        <v>0.12121212121212122</v>
      </c>
      <c r="AB27" s="4">
        <f t="shared" si="9"/>
        <v>0.12121212121212122</v>
      </c>
      <c r="AC27" s="4">
        <f t="shared" si="10"/>
        <v>0.15151515151515152</v>
      </c>
    </row>
    <row r="28" spans="1:29" x14ac:dyDescent="0.3">
      <c r="A28" s="4" t="s">
        <v>5</v>
      </c>
      <c r="B28" s="4" t="s">
        <v>20</v>
      </c>
      <c r="C28" s="4" t="s">
        <v>21</v>
      </c>
      <c r="D28" s="4" t="s">
        <v>22</v>
      </c>
      <c r="E28" s="4" t="s">
        <v>9</v>
      </c>
      <c r="F28" s="4">
        <f t="shared" si="0"/>
        <v>1.1181183232272637E-3</v>
      </c>
      <c r="G28" s="4">
        <f t="shared" si="1"/>
        <v>1.1805170833470357E-3</v>
      </c>
      <c r="H28" s="4" t="str">
        <f t="shared" si="2"/>
        <v>M</v>
      </c>
      <c r="I28" s="4">
        <f t="shared" si="3"/>
        <v>0</v>
      </c>
      <c r="L28" s="5" t="s">
        <v>57</v>
      </c>
      <c r="M28" s="4">
        <v>0.12121212121212122</v>
      </c>
      <c r="N28" s="5" t="s">
        <v>62</v>
      </c>
      <c r="O28" s="4">
        <v>0.18181818181818182</v>
      </c>
      <c r="R28" s="4">
        <v>0.5</v>
      </c>
      <c r="S28" s="4">
        <f t="shared" si="11"/>
        <v>0.51515151515151514</v>
      </c>
      <c r="T28" s="4">
        <f t="shared" si="4"/>
        <v>0</v>
      </c>
      <c r="U28" s="4">
        <f t="shared" si="5"/>
        <v>0.21212121212121213</v>
      </c>
      <c r="V28" s="4">
        <f t="shared" si="6"/>
        <v>0.51515151515151514</v>
      </c>
      <c r="Y28" s="4">
        <v>0.5</v>
      </c>
      <c r="Z28" s="4">
        <f t="shared" si="7"/>
        <v>0.60606060606060608</v>
      </c>
      <c r="AA28" s="4">
        <f t="shared" si="8"/>
        <v>0</v>
      </c>
      <c r="AB28" s="4">
        <f t="shared" si="9"/>
        <v>0.12121212121212122</v>
      </c>
      <c r="AC28" s="4">
        <f t="shared" si="10"/>
        <v>0.45454545454545453</v>
      </c>
    </row>
    <row r="29" spans="1:29" x14ac:dyDescent="0.3">
      <c r="A29" s="4" t="s">
        <v>5</v>
      </c>
      <c r="B29" s="4" t="s">
        <v>20</v>
      </c>
      <c r="C29" s="4" t="s">
        <v>19</v>
      </c>
      <c r="D29" s="4" t="s">
        <v>22</v>
      </c>
      <c r="E29" s="4" t="s">
        <v>9</v>
      </c>
      <c r="F29" s="4">
        <f t="shared" si="0"/>
        <v>9.3176526935605318E-4</v>
      </c>
      <c r="G29" s="4">
        <f t="shared" si="1"/>
        <v>1.5178076785890458E-3</v>
      </c>
      <c r="H29" s="4" t="str">
        <f t="shared" si="2"/>
        <v>M</v>
      </c>
      <c r="I29" s="4">
        <f t="shared" si="3"/>
        <v>0</v>
      </c>
      <c r="R29" s="4">
        <v>0.5</v>
      </c>
      <c r="S29" s="4">
        <f t="shared" si="11"/>
        <v>0.51515151515151514</v>
      </c>
      <c r="T29" s="4">
        <f t="shared" si="4"/>
        <v>0</v>
      </c>
      <c r="U29" s="4">
        <f t="shared" si="5"/>
        <v>0.21212121212121213</v>
      </c>
      <c r="V29" s="4">
        <f t="shared" si="6"/>
        <v>0.51515151515151514</v>
      </c>
      <c r="Y29" s="4">
        <v>0.5</v>
      </c>
      <c r="Z29" s="4">
        <f t="shared" si="7"/>
        <v>0.60606060606060608</v>
      </c>
      <c r="AA29" s="4">
        <f t="shared" si="8"/>
        <v>0</v>
      </c>
      <c r="AB29" s="4">
        <f t="shared" si="9"/>
        <v>0.12121212121212122</v>
      </c>
      <c r="AC29" s="4">
        <f t="shared" si="10"/>
        <v>0.45454545454545453</v>
      </c>
    </row>
    <row r="30" spans="1:29" x14ac:dyDescent="0.3">
      <c r="A30" s="4" t="s">
        <v>5</v>
      </c>
      <c r="B30" s="4" t="s">
        <v>20</v>
      </c>
      <c r="C30" s="4" t="s">
        <v>19</v>
      </c>
      <c r="D30" s="4" t="s">
        <v>12</v>
      </c>
      <c r="E30" s="4" t="s">
        <v>9</v>
      </c>
      <c r="F30" s="4">
        <f t="shared" si="0"/>
        <v>7.9200047895264507E-3</v>
      </c>
      <c r="G30" s="4">
        <f t="shared" si="1"/>
        <v>4.5534230357671367E-3</v>
      </c>
      <c r="H30" s="4" t="str">
        <f t="shared" si="2"/>
        <v>F</v>
      </c>
      <c r="I30" s="4">
        <f t="shared" si="3"/>
        <v>1</v>
      </c>
      <c r="L30" s="4" t="s">
        <v>3</v>
      </c>
      <c r="R30" s="4">
        <v>0.5</v>
      </c>
      <c r="S30" s="4">
        <f t="shared" si="11"/>
        <v>0.51515151515151514</v>
      </c>
      <c r="T30" s="4">
        <f t="shared" si="4"/>
        <v>0.39393939393939392</v>
      </c>
      <c r="U30" s="4">
        <f t="shared" si="5"/>
        <v>0.15151515151515152</v>
      </c>
      <c r="V30" s="4">
        <f t="shared" si="6"/>
        <v>0.24242424242424243</v>
      </c>
      <c r="Y30" s="4">
        <v>0.5</v>
      </c>
      <c r="Z30" s="4">
        <f t="shared" si="7"/>
        <v>0.60606060606060608</v>
      </c>
      <c r="AA30" s="4">
        <f t="shared" si="8"/>
        <v>0.12121212121212122</v>
      </c>
      <c r="AB30" s="4">
        <f t="shared" si="9"/>
        <v>0.27272727272727271</v>
      </c>
      <c r="AC30" s="4">
        <f t="shared" si="10"/>
        <v>0.15151515151515152</v>
      </c>
    </row>
    <row r="31" spans="1:29" x14ac:dyDescent="0.3">
      <c r="A31" s="4" t="s">
        <v>5</v>
      </c>
      <c r="B31" s="4" t="s">
        <v>23</v>
      </c>
      <c r="C31" s="4" t="s">
        <v>19</v>
      </c>
      <c r="D31" s="4" t="s">
        <v>17</v>
      </c>
      <c r="E31" s="4" t="s">
        <v>9</v>
      </c>
      <c r="F31" s="4">
        <f t="shared" si="0"/>
        <v>4.3004550893356304E-4</v>
      </c>
      <c r="G31" s="4">
        <f t="shared" si="1"/>
        <v>3.6427384286137105E-3</v>
      </c>
      <c r="H31" s="4" t="str">
        <f t="shared" si="2"/>
        <v>M</v>
      </c>
      <c r="I31" s="4">
        <f t="shared" si="3"/>
        <v>0</v>
      </c>
      <c r="L31" s="5" t="s">
        <v>63</v>
      </c>
      <c r="M31" s="4">
        <v>0.15151515151515152</v>
      </c>
      <c r="N31" s="5" t="s">
        <v>65</v>
      </c>
      <c r="O31" s="4">
        <v>0.24242424242424243</v>
      </c>
      <c r="R31" s="4">
        <v>0.5</v>
      </c>
      <c r="S31" s="4">
        <f t="shared" si="11"/>
        <v>0.51515151515151514</v>
      </c>
      <c r="T31" s="4">
        <f t="shared" si="4"/>
        <v>0.39393939393939392</v>
      </c>
      <c r="U31" s="4">
        <f t="shared" si="5"/>
        <v>0.18181818181818182</v>
      </c>
      <c r="V31" s="4">
        <f t="shared" si="6"/>
        <v>0.18181818181818182</v>
      </c>
      <c r="Y31" s="4">
        <v>0.5</v>
      </c>
      <c r="Z31" s="4">
        <f t="shared" si="7"/>
        <v>0.60606060606060608</v>
      </c>
      <c r="AA31" s="4">
        <f t="shared" si="8"/>
        <v>0.12121212121212122</v>
      </c>
      <c r="AB31" s="4">
        <f t="shared" si="9"/>
        <v>0.21212121212121213</v>
      </c>
      <c r="AC31" s="4">
        <f t="shared" si="10"/>
        <v>0.24242424242424243</v>
      </c>
    </row>
    <row r="32" spans="1:29" x14ac:dyDescent="0.3">
      <c r="A32" s="4" t="s">
        <v>13</v>
      </c>
      <c r="B32" s="4" t="s">
        <v>6</v>
      </c>
      <c r="C32" s="4" t="s">
        <v>22</v>
      </c>
      <c r="D32" s="4" t="s">
        <v>12</v>
      </c>
      <c r="E32" s="4" t="s">
        <v>9</v>
      </c>
      <c r="F32" s="4">
        <f t="shared" si="0"/>
        <v>0</v>
      </c>
      <c r="G32" s="4">
        <f t="shared" si="1"/>
        <v>0</v>
      </c>
      <c r="H32" s="4" t="str">
        <f t="shared" si="2"/>
        <v>M</v>
      </c>
      <c r="I32" s="4">
        <f t="shared" si="3"/>
        <v>0</v>
      </c>
      <c r="L32" s="5" t="s">
        <v>68</v>
      </c>
      <c r="M32" s="4">
        <v>0.45454545454545453</v>
      </c>
      <c r="N32" s="5" t="s">
        <v>66</v>
      </c>
      <c r="O32" s="4">
        <v>0.51515151515151514</v>
      </c>
      <c r="R32" s="4">
        <v>0.5</v>
      </c>
      <c r="S32" s="4">
        <f t="shared" si="11"/>
        <v>0.39393939393939392</v>
      </c>
      <c r="T32" s="4">
        <f t="shared" si="4"/>
        <v>9.0909090909090912E-2</v>
      </c>
      <c r="U32" s="4">
        <f t="shared" si="5"/>
        <v>0.15151515151515152</v>
      </c>
      <c r="V32" s="4">
        <f t="shared" si="6"/>
        <v>0.18181818181818182</v>
      </c>
      <c r="Y32" s="4">
        <v>0.5</v>
      </c>
      <c r="Z32" s="4">
        <f t="shared" si="7"/>
        <v>0.27272727272727271</v>
      </c>
      <c r="AA32" s="4">
        <f t="shared" si="8"/>
        <v>3.0303030303030304E-2</v>
      </c>
      <c r="AB32" s="4">
        <f t="shared" si="9"/>
        <v>0.12121212121212122</v>
      </c>
      <c r="AC32" s="4">
        <f t="shared" si="10"/>
        <v>0.24242424242424243</v>
      </c>
    </row>
    <row r="33" spans="1:29" x14ac:dyDescent="0.3">
      <c r="A33" s="4" t="s">
        <v>10</v>
      </c>
      <c r="B33" s="4" t="s">
        <v>6</v>
      </c>
      <c r="C33" s="4" t="s">
        <v>21</v>
      </c>
      <c r="D33" s="4" t="s">
        <v>12</v>
      </c>
      <c r="E33" s="4" t="s">
        <v>9</v>
      </c>
      <c r="F33" s="4">
        <f t="shared" si="0"/>
        <v>0</v>
      </c>
      <c r="G33" s="4">
        <f t="shared" si="1"/>
        <v>0</v>
      </c>
      <c r="H33" s="4" t="str">
        <f t="shared" si="2"/>
        <v>M</v>
      </c>
      <c r="I33" s="4">
        <f t="shared" si="3"/>
        <v>0</v>
      </c>
      <c r="L33" s="5" t="s">
        <v>64</v>
      </c>
      <c r="M33" s="4">
        <v>0.24242424242424243</v>
      </c>
      <c r="N33" s="5" t="s">
        <v>67</v>
      </c>
      <c r="O33" s="4">
        <v>0.18181818181818182</v>
      </c>
      <c r="R33" s="4">
        <v>0.5</v>
      </c>
      <c r="S33" s="4">
        <f t="shared" si="11"/>
        <v>0.51515151515151514</v>
      </c>
      <c r="T33" s="4">
        <f t="shared" si="4"/>
        <v>0</v>
      </c>
      <c r="U33" s="4">
        <f t="shared" si="5"/>
        <v>0.12121212121212122</v>
      </c>
      <c r="V33" s="4">
        <f t="shared" si="6"/>
        <v>0.51515151515151514</v>
      </c>
      <c r="Y33" s="4">
        <v>0.5</v>
      </c>
      <c r="Z33" s="4">
        <f t="shared" si="7"/>
        <v>0.60606060606060608</v>
      </c>
      <c r="AA33" s="4">
        <f t="shared" si="8"/>
        <v>0</v>
      </c>
      <c r="AB33" s="4">
        <f t="shared" si="9"/>
        <v>0.15151515151515152</v>
      </c>
      <c r="AC33" s="4">
        <f t="shared" si="10"/>
        <v>0.45454545454545453</v>
      </c>
    </row>
    <row r="34" spans="1:29" x14ac:dyDescent="0.3">
      <c r="A34" s="4" t="s">
        <v>5</v>
      </c>
      <c r="B34" s="4" t="s">
        <v>24</v>
      </c>
      <c r="C34" s="4" t="s">
        <v>21</v>
      </c>
      <c r="D34" s="4" t="s">
        <v>12</v>
      </c>
      <c r="E34" s="4" t="s">
        <v>9</v>
      </c>
      <c r="F34" s="4">
        <f t="shared" si="0"/>
        <v>1.4621547303741143E-3</v>
      </c>
      <c r="G34" s="4">
        <f t="shared" si="1"/>
        <v>3.5415512500411072E-3</v>
      </c>
      <c r="H34" s="4" t="str">
        <f t="shared" si="2"/>
        <v>M</v>
      </c>
      <c r="I34" s="4">
        <f t="shared" si="3"/>
        <v>0</v>
      </c>
      <c r="L34" s="5" t="s">
        <v>54</v>
      </c>
      <c r="M34" s="4">
        <v>0.15151515151515152</v>
      </c>
      <c r="N34" s="5" t="s">
        <v>59</v>
      </c>
      <c r="O34" s="4">
        <v>6.0606060606060608E-2</v>
      </c>
      <c r="R34" s="4">
        <v>0.5</v>
      </c>
      <c r="S34" s="4">
        <f t="shared" si="11"/>
        <v>0.39393939393939392</v>
      </c>
      <c r="T34" s="4">
        <f t="shared" si="4"/>
        <v>0.39393939393939392</v>
      </c>
      <c r="U34" s="4">
        <f t="shared" si="5"/>
        <v>0.21212121212121213</v>
      </c>
      <c r="V34" s="4">
        <f t="shared" si="6"/>
        <v>0.51515151515151514</v>
      </c>
      <c r="Y34" s="4">
        <v>0.5</v>
      </c>
      <c r="Z34" s="4">
        <f t="shared" si="7"/>
        <v>0.27272727272727271</v>
      </c>
      <c r="AA34" s="4">
        <f t="shared" si="8"/>
        <v>0.12121212121212122</v>
      </c>
      <c r="AB34" s="4">
        <f t="shared" si="9"/>
        <v>0.12121212121212122</v>
      </c>
      <c r="AC34" s="4">
        <f t="shared" si="10"/>
        <v>0.45454545454545453</v>
      </c>
    </row>
    <row r="35" spans="1:29" x14ac:dyDescent="0.3">
      <c r="A35" s="4" t="s">
        <v>13</v>
      </c>
      <c r="B35" s="4" t="s">
        <v>24</v>
      </c>
      <c r="C35" s="4" t="s">
        <v>14</v>
      </c>
      <c r="D35" s="4" t="s">
        <v>22</v>
      </c>
      <c r="E35" s="4" t="s">
        <v>25</v>
      </c>
      <c r="F35" s="4">
        <f t="shared" si="0"/>
        <v>1.3154333214438399E-4</v>
      </c>
      <c r="G35" s="4">
        <f t="shared" si="1"/>
        <v>3.0356153571780924E-4</v>
      </c>
      <c r="H35" s="4" t="str">
        <f t="shared" si="2"/>
        <v>M</v>
      </c>
      <c r="I35" s="4">
        <f t="shared" si="3"/>
        <v>1</v>
      </c>
      <c r="R35" s="4">
        <v>0.5</v>
      </c>
      <c r="S35" s="4">
        <f t="shared" si="11"/>
        <v>0.51515151515151514</v>
      </c>
      <c r="T35" s="4">
        <f t="shared" si="4"/>
        <v>6.0606060606060608E-2</v>
      </c>
      <c r="U35" s="4">
        <f t="shared" si="5"/>
        <v>0.15151515151515152</v>
      </c>
      <c r="V35" s="4">
        <f t="shared" si="6"/>
        <v>0.24242424242424243</v>
      </c>
      <c r="Y35" s="4">
        <v>0.5</v>
      </c>
      <c r="Z35" s="4">
        <f t="shared" si="7"/>
        <v>0.60606060606060608</v>
      </c>
      <c r="AA35" s="4">
        <f t="shared" si="8"/>
        <v>6.0606060606060608E-2</v>
      </c>
      <c r="AB35" s="4">
        <f t="shared" si="9"/>
        <v>0.12121212121212122</v>
      </c>
      <c r="AC35" s="4">
        <f t="shared" si="10"/>
        <v>0.15151515151515152</v>
      </c>
    </row>
    <row r="36" spans="1:29" x14ac:dyDescent="0.3">
      <c r="A36" s="4" t="s">
        <v>10</v>
      </c>
      <c r="B36" s="4" t="s">
        <v>11</v>
      </c>
      <c r="C36" s="4" t="s">
        <v>21</v>
      </c>
      <c r="D36" s="4" t="s">
        <v>8</v>
      </c>
      <c r="E36" s="4" t="s">
        <v>25</v>
      </c>
      <c r="F36" s="4">
        <f t="shared" si="0"/>
        <v>6.071230714356185E-5</v>
      </c>
      <c r="G36" s="4">
        <f t="shared" si="1"/>
        <v>4.1318097917146252E-4</v>
      </c>
      <c r="H36" s="4" t="str">
        <f t="shared" si="2"/>
        <v>M</v>
      </c>
      <c r="I36" s="4">
        <f t="shared" si="3"/>
        <v>1</v>
      </c>
      <c r="R36" s="4">
        <v>0.5</v>
      </c>
      <c r="S36" s="4">
        <f t="shared" si="11"/>
        <v>0.39393939393939392</v>
      </c>
      <c r="T36" s="4">
        <f t="shared" si="4"/>
        <v>6.0606060606060608E-2</v>
      </c>
      <c r="U36" s="4">
        <f t="shared" si="5"/>
        <v>0.15151515151515152</v>
      </c>
      <c r="V36" s="4">
        <f t="shared" si="6"/>
        <v>0.51515151515151514</v>
      </c>
      <c r="Y36" s="4">
        <v>0.5</v>
      </c>
      <c r="Z36" s="4">
        <f t="shared" si="7"/>
        <v>0.27272727272727271</v>
      </c>
      <c r="AA36" s="4">
        <f t="shared" si="8"/>
        <v>0.12121212121212122</v>
      </c>
      <c r="AB36" s="4">
        <f t="shared" si="9"/>
        <v>0.12121212121212122</v>
      </c>
      <c r="AC36" s="4">
        <f t="shared" si="10"/>
        <v>0.45454545454545453</v>
      </c>
    </row>
    <row r="37" spans="1:29" x14ac:dyDescent="0.3">
      <c r="A37" s="4" t="s">
        <v>13</v>
      </c>
      <c r="B37" s="4" t="s">
        <v>23</v>
      </c>
      <c r="C37" s="4" t="s">
        <v>22</v>
      </c>
      <c r="D37" s="4" t="s">
        <v>12</v>
      </c>
      <c r="E37" s="4" t="s">
        <v>25</v>
      </c>
      <c r="F37" s="4">
        <f t="shared" si="0"/>
        <v>1.3044713770984744E-3</v>
      </c>
      <c r="G37" s="4">
        <f t="shared" si="1"/>
        <v>1.3660269107301413E-3</v>
      </c>
      <c r="H37" s="4" t="str">
        <f t="shared" si="2"/>
        <v>M</v>
      </c>
      <c r="I37" s="4">
        <f t="shared" si="3"/>
        <v>1</v>
      </c>
      <c r="R37" s="4">
        <v>0.5</v>
      </c>
      <c r="S37" s="4">
        <f t="shared" si="11"/>
        <v>0.51515151515151514</v>
      </c>
      <c r="T37" s="4">
        <f t="shared" si="4"/>
        <v>0.39393939393939392</v>
      </c>
      <c r="U37" s="4">
        <f t="shared" si="5"/>
        <v>0.18181818181818182</v>
      </c>
      <c r="V37" s="4">
        <f t="shared" si="6"/>
        <v>6.0606060606060608E-2</v>
      </c>
      <c r="Y37" s="4">
        <v>0.5</v>
      </c>
      <c r="Z37" s="4">
        <f t="shared" si="7"/>
        <v>0.60606060606060608</v>
      </c>
      <c r="AA37" s="4">
        <f t="shared" si="8"/>
        <v>0.12121212121212122</v>
      </c>
      <c r="AB37" s="4">
        <f t="shared" si="9"/>
        <v>0.21212121212121213</v>
      </c>
      <c r="AC37" s="4">
        <f t="shared" si="10"/>
        <v>0.15151515151515152</v>
      </c>
    </row>
    <row r="38" spans="1:29" x14ac:dyDescent="0.3">
      <c r="A38" s="4" t="s">
        <v>10</v>
      </c>
      <c r="B38" s="4" t="s">
        <v>6</v>
      </c>
      <c r="C38" s="4" t="s">
        <v>19</v>
      </c>
      <c r="D38" s="4" t="s">
        <v>12</v>
      </c>
      <c r="E38" s="4" t="s">
        <v>25</v>
      </c>
      <c r="F38" s="4">
        <f t="shared" si="0"/>
        <v>0</v>
      </c>
      <c r="G38" s="4">
        <f t="shared" si="1"/>
        <v>0</v>
      </c>
      <c r="H38" s="4" t="str">
        <f t="shared" si="2"/>
        <v>M</v>
      </c>
      <c r="I38" s="4">
        <f t="shared" si="3"/>
        <v>1</v>
      </c>
      <c r="R38" s="4">
        <v>0.5</v>
      </c>
      <c r="S38" s="4">
        <f t="shared" si="11"/>
        <v>0.51515151515151514</v>
      </c>
      <c r="T38" s="4">
        <f t="shared" si="4"/>
        <v>0.39393939393939392</v>
      </c>
      <c r="U38" s="4">
        <f t="shared" si="5"/>
        <v>0.15151515151515152</v>
      </c>
      <c r="V38" s="4">
        <f t="shared" si="6"/>
        <v>6.0606060606060608E-2</v>
      </c>
      <c r="Y38" s="4">
        <v>0.5</v>
      </c>
      <c r="Z38" s="4">
        <f t="shared" si="7"/>
        <v>0.60606060606060608</v>
      </c>
      <c r="AA38" s="4">
        <f t="shared" si="8"/>
        <v>0.12121212121212122</v>
      </c>
      <c r="AB38" s="4">
        <f t="shared" si="9"/>
        <v>0.27272727272727271</v>
      </c>
      <c r="AC38" s="4">
        <f t="shared" si="10"/>
        <v>0.15151515151515152</v>
      </c>
    </row>
    <row r="39" spans="1:29" x14ac:dyDescent="0.3">
      <c r="A39" s="4" t="s">
        <v>5</v>
      </c>
      <c r="B39" s="4" t="s">
        <v>20</v>
      </c>
      <c r="C39" s="4" t="s">
        <v>22</v>
      </c>
      <c r="D39" s="4" t="s">
        <v>17</v>
      </c>
      <c r="E39" s="4" t="s">
        <v>25</v>
      </c>
      <c r="F39" s="4">
        <f t="shared" si="0"/>
        <v>3.9134141312954238E-3</v>
      </c>
      <c r="G39" s="4">
        <f t="shared" si="1"/>
        <v>1.0793299047744326E-3</v>
      </c>
      <c r="H39" s="4" t="str">
        <f t="shared" si="2"/>
        <v>F</v>
      </c>
      <c r="I39" s="4">
        <f t="shared" si="3"/>
        <v>0</v>
      </c>
      <c r="R39" s="4">
        <v>0.5</v>
      </c>
      <c r="S39" s="4">
        <f t="shared" si="11"/>
        <v>0.51515151515151514</v>
      </c>
      <c r="T39" s="4">
        <f t="shared" si="4"/>
        <v>0.39393939393939392</v>
      </c>
      <c r="U39" s="4">
        <f t="shared" si="5"/>
        <v>0.15151515151515152</v>
      </c>
      <c r="V39" s="4">
        <f t="shared" si="6"/>
        <v>0.51515151515151514</v>
      </c>
      <c r="Y39" s="4">
        <v>0.5</v>
      </c>
      <c r="Z39" s="4">
        <f t="shared" si="7"/>
        <v>0.60606060606060608</v>
      </c>
      <c r="AA39" s="4">
        <f t="shared" si="8"/>
        <v>0.12121212121212122</v>
      </c>
      <c r="AB39" s="4">
        <f t="shared" si="9"/>
        <v>0.27272727272727271</v>
      </c>
      <c r="AC39" s="4">
        <f t="shared" si="10"/>
        <v>0.45454545454545453</v>
      </c>
    </row>
    <row r="40" spans="1:29" x14ac:dyDescent="0.3">
      <c r="A40" s="4" t="s">
        <v>5</v>
      </c>
      <c r="B40" s="4" t="s">
        <v>20</v>
      </c>
      <c r="C40" s="4" t="s">
        <v>16</v>
      </c>
      <c r="D40" s="4" t="s">
        <v>17</v>
      </c>
      <c r="E40" s="4" t="s">
        <v>25</v>
      </c>
      <c r="F40" s="4">
        <f t="shared" si="0"/>
        <v>2.7952958080681594E-3</v>
      </c>
      <c r="G40" s="4">
        <f t="shared" si="1"/>
        <v>1.0793299047744326E-3</v>
      </c>
      <c r="H40" s="4" t="str">
        <f t="shared" si="2"/>
        <v>F</v>
      </c>
      <c r="I40" s="4">
        <f t="shared" si="3"/>
        <v>0</v>
      </c>
      <c r="R40" s="4">
        <v>0.5</v>
      </c>
      <c r="S40" s="4">
        <f t="shared" si="11"/>
        <v>0.51515151515151514</v>
      </c>
      <c r="T40" s="4">
        <f t="shared" si="4"/>
        <v>6.0606060606060608E-2</v>
      </c>
      <c r="U40" s="4">
        <f t="shared" si="5"/>
        <v>0.15151515151515152</v>
      </c>
      <c r="V40" s="4">
        <f t="shared" si="6"/>
        <v>0.18181818181818182</v>
      </c>
      <c r="Y40" s="4">
        <v>0.5</v>
      </c>
      <c r="Z40" s="4">
        <f t="shared" si="7"/>
        <v>0.60606060606060608</v>
      </c>
      <c r="AA40" s="4">
        <f t="shared" si="8"/>
        <v>0.18181818181818182</v>
      </c>
      <c r="AB40" s="4">
        <f t="shared" si="9"/>
        <v>0.27272727272727271</v>
      </c>
      <c r="AC40" s="4">
        <f t="shared" si="10"/>
        <v>0.24242424242424243</v>
      </c>
    </row>
    <row r="41" spans="1:29" x14ac:dyDescent="0.3">
      <c r="A41" s="4" t="s">
        <v>13</v>
      </c>
      <c r="B41" s="4" t="s">
        <v>6</v>
      </c>
      <c r="C41" s="4" t="s">
        <v>7</v>
      </c>
      <c r="D41" s="4" t="s">
        <v>8</v>
      </c>
      <c r="E41" s="4" t="s">
        <v>25</v>
      </c>
      <c r="F41" s="4">
        <f t="shared" si="0"/>
        <v>0</v>
      </c>
      <c r="G41" s="4">
        <f t="shared" si="1"/>
        <v>0</v>
      </c>
      <c r="H41" s="4" t="str">
        <f t="shared" si="2"/>
        <v>M</v>
      </c>
      <c r="I41" s="4">
        <f t="shared" si="3"/>
        <v>1</v>
      </c>
      <c r="R41" s="4">
        <v>0.5</v>
      </c>
      <c r="S41" s="4">
        <f t="shared" si="11"/>
        <v>0.39393939393939392</v>
      </c>
      <c r="T41" s="4">
        <f t="shared" si="4"/>
        <v>0</v>
      </c>
      <c r="U41" s="4">
        <f t="shared" si="5"/>
        <v>0.21212121212121213</v>
      </c>
      <c r="V41" s="4">
        <f t="shared" si="6"/>
        <v>0.51515151515151514</v>
      </c>
      <c r="Y41" s="4">
        <v>0.5</v>
      </c>
      <c r="Z41" s="4">
        <f t="shared" si="7"/>
        <v>0.27272727272727271</v>
      </c>
      <c r="AA41" s="4">
        <f t="shared" si="8"/>
        <v>0</v>
      </c>
      <c r="AB41" s="4">
        <f t="shared" si="9"/>
        <v>0.12121212121212122</v>
      </c>
      <c r="AC41" s="4">
        <f t="shared" si="10"/>
        <v>0.45454545454545453</v>
      </c>
    </row>
    <row r="42" spans="1:29" x14ac:dyDescent="0.3">
      <c r="A42" s="4" t="s">
        <v>5</v>
      </c>
      <c r="B42" s="4" t="s">
        <v>6</v>
      </c>
      <c r="C42" s="4" t="s">
        <v>7</v>
      </c>
      <c r="D42" s="4" t="s">
        <v>12</v>
      </c>
      <c r="E42" s="4" t="s">
        <v>25</v>
      </c>
      <c r="F42" s="4">
        <f t="shared" si="0"/>
        <v>0</v>
      </c>
      <c r="G42" s="4">
        <f t="shared" si="1"/>
        <v>0</v>
      </c>
      <c r="H42" s="4" t="str">
        <f t="shared" si="2"/>
        <v>M</v>
      </c>
      <c r="I42" s="4">
        <f t="shared" si="3"/>
        <v>1</v>
      </c>
      <c r="R42" s="4">
        <v>0.5</v>
      </c>
      <c r="S42" s="4">
        <f t="shared" si="11"/>
        <v>9.0909090909090912E-2</v>
      </c>
      <c r="T42" s="4">
        <f t="shared" si="4"/>
        <v>0</v>
      </c>
      <c r="U42" s="4">
        <f t="shared" si="5"/>
        <v>0.18181818181818182</v>
      </c>
      <c r="V42" s="4">
        <f t="shared" si="6"/>
        <v>0.51515151515151514</v>
      </c>
      <c r="Y42" s="4">
        <v>0.5</v>
      </c>
      <c r="Z42" s="4">
        <f t="shared" si="7"/>
        <v>0.12121212121212122</v>
      </c>
      <c r="AA42" s="4">
        <f t="shared" si="8"/>
        <v>0</v>
      </c>
      <c r="AB42" s="4">
        <f t="shared" si="9"/>
        <v>0.21212121212121213</v>
      </c>
      <c r="AC42" s="4">
        <f t="shared" si="10"/>
        <v>0.45454545454545453</v>
      </c>
    </row>
    <row r="43" spans="1:29" x14ac:dyDescent="0.3">
      <c r="A43" s="4" t="s">
        <v>10</v>
      </c>
      <c r="B43" s="4" t="s">
        <v>20</v>
      </c>
      <c r="C43" s="4" t="s">
        <v>19</v>
      </c>
      <c r="D43" s="4" t="s">
        <v>8</v>
      </c>
      <c r="E43" s="4" t="s">
        <v>25</v>
      </c>
      <c r="F43" s="4">
        <f t="shared" si="0"/>
        <v>6.5771666072191991E-4</v>
      </c>
      <c r="G43" s="4">
        <f t="shared" si="1"/>
        <v>3.0356153571780924E-4</v>
      </c>
      <c r="H43" s="4" t="str">
        <f t="shared" si="2"/>
        <v>F</v>
      </c>
      <c r="I43" s="4">
        <f t="shared" si="3"/>
        <v>0</v>
      </c>
      <c r="R43" s="4">
        <v>0.5</v>
      </c>
      <c r="S43" s="4">
        <f t="shared" si="11"/>
        <v>0.51515151515151514</v>
      </c>
      <c r="T43" s="4">
        <f t="shared" si="4"/>
        <v>6.0606060606060608E-2</v>
      </c>
      <c r="U43" s="4">
        <f t="shared" si="5"/>
        <v>0.18181818181818182</v>
      </c>
      <c r="V43" s="4">
        <f t="shared" si="6"/>
        <v>0.51515151515151514</v>
      </c>
      <c r="Y43" s="4">
        <v>0.5</v>
      </c>
      <c r="Z43" s="4">
        <f t="shared" si="7"/>
        <v>0.60606060606060608</v>
      </c>
      <c r="AA43" s="4">
        <f t="shared" si="8"/>
        <v>0.12121212121212122</v>
      </c>
      <c r="AB43" s="4">
        <f t="shared" si="9"/>
        <v>0.21212121212121213</v>
      </c>
      <c r="AC43" s="4">
        <f t="shared" si="10"/>
        <v>0.45454545454545453</v>
      </c>
    </row>
    <row r="44" spans="1:29" x14ac:dyDescent="0.3">
      <c r="A44" s="4" t="s">
        <v>13</v>
      </c>
      <c r="B44" s="4" t="s">
        <v>24</v>
      </c>
      <c r="C44" s="4" t="s">
        <v>19</v>
      </c>
      <c r="D44" s="4" t="s">
        <v>12</v>
      </c>
      <c r="E44" s="4" t="s">
        <v>25</v>
      </c>
      <c r="F44" s="4">
        <f t="shared" si="0"/>
        <v>9.3176526935605318E-4</v>
      </c>
      <c r="G44" s="4">
        <f t="shared" si="1"/>
        <v>2.0490403660952121E-3</v>
      </c>
      <c r="H44" s="4" t="str">
        <f t="shared" si="2"/>
        <v>M</v>
      </c>
      <c r="I44" s="4">
        <f t="shared" si="3"/>
        <v>1</v>
      </c>
      <c r="R44" s="4">
        <v>0.5</v>
      </c>
      <c r="S44" s="4">
        <f t="shared" si="11"/>
        <v>0.39393939393939392</v>
      </c>
      <c r="T44" s="4">
        <f t="shared" si="4"/>
        <v>6.0606060606060608E-2</v>
      </c>
      <c r="U44" s="4">
        <f t="shared" si="5"/>
        <v>0.18181818181818182</v>
      </c>
      <c r="V44" s="4">
        <f t="shared" si="6"/>
        <v>6.0606060606060608E-2</v>
      </c>
      <c r="Y44" s="4">
        <v>0.5</v>
      </c>
      <c r="Z44" s="4">
        <f t="shared" si="7"/>
        <v>0.27272727272727271</v>
      </c>
      <c r="AA44" s="4">
        <f t="shared" si="8"/>
        <v>0.12121212121212122</v>
      </c>
      <c r="AB44" s="4">
        <f t="shared" si="9"/>
        <v>0.12121212121212122</v>
      </c>
      <c r="AC44" s="4">
        <f t="shared" si="10"/>
        <v>0.15151515151515152</v>
      </c>
    </row>
    <row r="45" spans="1:29" x14ac:dyDescent="0.3">
      <c r="A45" s="4" t="s">
        <v>5</v>
      </c>
      <c r="B45" s="4" t="s">
        <v>6</v>
      </c>
      <c r="C45" s="4" t="s">
        <v>14</v>
      </c>
      <c r="D45" s="4" t="s">
        <v>8</v>
      </c>
      <c r="E45" s="4" t="s">
        <v>25</v>
      </c>
      <c r="F45" s="4">
        <f t="shared" si="0"/>
        <v>0</v>
      </c>
      <c r="G45" s="4">
        <f t="shared" si="1"/>
        <v>0</v>
      </c>
      <c r="H45" s="4" t="str">
        <f t="shared" si="2"/>
        <v>M</v>
      </c>
      <c r="I45" s="4">
        <f t="shared" si="3"/>
        <v>1</v>
      </c>
      <c r="R45" s="4">
        <v>0.5</v>
      </c>
      <c r="S45" s="4">
        <f t="shared" si="11"/>
        <v>9.0909090909090912E-2</v>
      </c>
      <c r="T45" s="4">
        <f t="shared" si="4"/>
        <v>3.0303030303030304E-2</v>
      </c>
      <c r="U45" s="4">
        <f t="shared" si="5"/>
        <v>0.18181818181818182</v>
      </c>
      <c r="V45" s="4">
        <f t="shared" si="6"/>
        <v>0.24242424242424243</v>
      </c>
      <c r="Y45" s="4">
        <v>0.5</v>
      </c>
      <c r="Z45" s="4">
        <f t="shared" si="7"/>
        <v>0.12121212121212122</v>
      </c>
      <c r="AA45" s="4">
        <f t="shared" si="8"/>
        <v>0.21212121212121213</v>
      </c>
      <c r="AB45" s="4">
        <f t="shared" si="9"/>
        <v>0.21212121212121213</v>
      </c>
      <c r="AC45" s="4">
        <f t="shared" si="10"/>
        <v>0.15151515151515152</v>
      </c>
    </row>
    <row r="46" spans="1:29" x14ac:dyDescent="0.3">
      <c r="A46" s="4" t="s">
        <v>5</v>
      </c>
      <c r="B46" s="4" t="s">
        <v>15</v>
      </c>
      <c r="C46" s="4" t="s">
        <v>21</v>
      </c>
      <c r="D46" s="4" t="s">
        <v>22</v>
      </c>
      <c r="E46" s="4" t="s">
        <v>25</v>
      </c>
      <c r="F46" s="4">
        <f t="shared" si="0"/>
        <v>1.7201820357342523E-4</v>
      </c>
      <c r="G46" s="4">
        <f t="shared" si="1"/>
        <v>5.9025854167351786E-4</v>
      </c>
      <c r="H46" s="4" t="str">
        <f t="shared" si="2"/>
        <v>M</v>
      </c>
      <c r="I46" s="4">
        <f t="shared" si="3"/>
        <v>1</v>
      </c>
      <c r="R46" s="4">
        <v>0.5</v>
      </c>
      <c r="S46" s="4">
        <f t="shared" si="11"/>
        <v>0.39393939393939392</v>
      </c>
      <c r="T46" s="4">
        <f t="shared" si="4"/>
        <v>6.0606060606060608E-2</v>
      </c>
      <c r="U46" s="4">
        <f t="shared" si="5"/>
        <v>0.21212121212121213</v>
      </c>
      <c r="V46" s="4">
        <f t="shared" si="6"/>
        <v>0.51515151515151514</v>
      </c>
      <c r="Y46" s="4">
        <v>0.5</v>
      </c>
      <c r="Z46" s="4">
        <f t="shared" si="7"/>
        <v>0.27272727272727271</v>
      </c>
      <c r="AA46" s="4">
        <f t="shared" si="8"/>
        <v>0.18181818181818182</v>
      </c>
      <c r="AB46" s="4">
        <f t="shared" si="9"/>
        <v>0.12121212121212122</v>
      </c>
      <c r="AC46" s="4">
        <f t="shared" si="10"/>
        <v>0.45454545454545453</v>
      </c>
    </row>
    <row r="47" spans="1:29" x14ac:dyDescent="0.3">
      <c r="A47" s="4" t="s">
        <v>5</v>
      </c>
      <c r="B47" s="4" t="s">
        <v>11</v>
      </c>
      <c r="C47" s="4" t="s">
        <v>21</v>
      </c>
      <c r="D47" s="4" t="s">
        <v>12</v>
      </c>
      <c r="E47" s="4" t="s">
        <v>25</v>
      </c>
      <c r="F47" s="4">
        <f t="shared" si="0"/>
        <v>7.3107736518705714E-4</v>
      </c>
      <c r="G47" s="4">
        <f t="shared" si="1"/>
        <v>6.1977146875719378E-3</v>
      </c>
      <c r="H47" s="4" t="str">
        <f t="shared" si="2"/>
        <v>M</v>
      </c>
      <c r="I47" s="4">
        <f t="shared" si="3"/>
        <v>1</v>
      </c>
      <c r="R47" s="4">
        <v>0.5</v>
      </c>
      <c r="S47" s="4">
        <f t="shared" si="11"/>
        <v>9.0909090909090912E-2</v>
      </c>
      <c r="T47" s="4">
        <f t="shared" si="4"/>
        <v>0</v>
      </c>
      <c r="U47" s="4">
        <f t="shared" si="5"/>
        <v>0.15151515151515152</v>
      </c>
      <c r="V47" s="4">
        <f t="shared" si="6"/>
        <v>0.51515151515151514</v>
      </c>
      <c r="Y47" s="4">
        <v>0.5</v>
      </c>
      <c r="Z47" s="4">
        <f t="shared" si="7"/>
        <v>0.12121212121212122</v>
      </c>
      <c r="AA47" s="4">
        <f t="shared" si="8"/>
        <v>0</v>
      </c>
      <c r="AB47" s="4">
        <f t="shared" si="9"/>
        <v>0.27272727272727271</v>
      </c>
      <c r="AC47" s="4">
        <f t="shared" si="10"/>
        <v>0.45454545454545453</v>
      </c>
    </row>
    <row r="48" spans="1:29" x14ac:dyDescent="0.3">
      <c r="A48" s="4" t="s">
        <v>5</v>
      </c>
      <c r="B48" s="4" t="s">
        <v>11</v>
      </c>
      <c r="C48" s="4" t="s">
        <v>14</v>
      </c>
      <c r="D48" s="4" t="s">
        <v>12</v>
      </c>
      <c r="E48" s="4" t="s">
        <v>25</v>
      </c>
      <c r="F48" s="4">
        <f t="shared" si="0"/>
        <v>7.3107736518705714E-4</v>
      </c>
      <c r="G48" s="4">
        <f t="shared" si="1"/>
        <v>3.5415512500411076E-3</v>
      </c>
      <c r="H48" s="4" t="str">
        <f t="shared" si="2"/>
        <v>M</v>
      </c>
      <c r="I48" s="4">
        <f t="shared" si="3"/>
        <v>1</v>
      </c>
      <c r="R48" s="4">
        <v>0.5</v>
      </c>
      <c r="S48" s="4">
        <f t="shared" si="11"/>
        <v>0.51515151515151514</v>
      </c>
      <c r="T48" s="4">
        <f t="shared" si="4"/>
        <v>0.39393939393939392</v>
      </c>
      <c r="U48" s="4">
        <f t="shared" si="5"/>
        <v>0.21212121212121213</v>
      </c>
      <c r="V48" s="4">
        <f t="shared" si="6"/>
        <v>0.18181818181818182</v>
      </c>
      <c r="Y48" s="4">
        <v>0.5</v>
      </c>
      <c r="Z48" s="4">
        <f t="shared" si="7"/>
        <v>0.60606060606060608</v>
      </c>
      <c r="AA48" s="4">
        <f t="shared" si="8"/>
        <v>0.12121212121212122</v>
      </c>
      <c r="AB48" s="4">
        <f t="shared" si="9"/>
        <v>0.12121212121212122</v>
      </c>
      <c r="AC48" s="4">
        <f t="shared" si="10"/>
        <v>0.24242424242424243</v>
      </c>
    </row>
    <row r="49" spans="1:29" x14ac:dyDescent="0.3">
      <c r="A49" s="4" t="s">
        <v>5</v>
      </c>
      <c r="B49" s="4" t="s">
        <v>24</v>
      </c>
      <c r="C49" s="4" t="s">
        <v>16</v>
      </c>
      <c r="D49" s="4" t="s">
        <v>8</v>
      </c>
      <c r="E49" s="4" t="s">
        <v>25</v>
      </c>
      <c r="F49" s="4">
        <f t="shared" si="0"/>
        <v>5.7339401191141735E-4</v>
      </c>
      <c r="G49" s="4">
        <f t="shared" si="1"/>
        <v>6.7458119048402043E-4</v>
      </c>
      <c r="H49" s="4" t="str">
        <f t="shared" si="2"/>
        <v>M</v>
      </c>
      <c r="I49" s="4">
        <f t="shared" si="3"/>
        <v>1</v>
      </c>
      <c r="R49" s="4">
        <v>0.5</v>
      </c>
      <c r="S49" s="4">
        <f t="shared" si="11"/>
        <v>0.51515151515151514</v>
      </c>
      <c r="T49" s="4">
        <f t="shared" si="4"/>
        <v>0.39393939393939392</v>
      </c>
      <c r="U49" s="4">
        <f t="shared" si="5"/>
        <v>0.15151515151515152</v>
      </c>
      <c r="V49" s="4">
        <f t="shared" si="6"/>
        <v>0.18181818181818182</v>
      </c>
      <c r="Y49" s="4">
        <v>0.5</v>
      </c>
      <c r="Z49" s="4">
        <f t="shared" si="7"/>
        <v>0.60606060606060608</v>
      </c>
      <c r="AA49" s="4">
        <f t="shared" si="8"/>
        <v>0.12121212121212122</v>
      </c>
      <c r="AB49" s="4">
        <f t="shared" si="9"/>
        <v>0.12121212121212122</v>
      </c>
      <c r="AC49" s="4">
        <f t="shared" si="10"/>
        <v>0.24242424242424243</v>
      </c>
    </row>
    <row r="50" spans="1:29" x14ac:dyDescent="0.3">
      <c r="A50" s="4" t="s">
        <v>5</v>
      </c>
      <c r="B50" s="4" t="s">
        <v>6</v>
      </c>
      <c r="C50" s="4" t="s">
        <v>19</v>
      </c>
      <c r="D50" s="4" t="s">
        <v>22</v>
      </c>
      <c r="E50" s="4" t="s">
        <v>25</v>
      </c>
      <c r="F50" s="4">
        <f t="shared" si="0"/>
        <v>0</v>
      </c>
      <c r="G50" s="4">
        <f t="shared" si="1"/>
        <v>0</v>
      </c>
      <c r="H50" s="4" t="str">
        <f t="shared" si="2"/>
        <v>M</v>
      </c>
      <c r="I50" s="4">
        <f t="shared" si="3"/>
        <v>1</v>
      </c>
      <c r="R50" s="4">
        <v>0.5</v>
      </c>
      <c r="S50" s="4">
        <f t="shared" si="11"/>
        <v>0.39393939393939392</v>
      </c>
      <c r="T50" s="4">
        <f t="shared" si="4"/>
        <v>0</v>
      </c>
      <c r="U50" s="4">
        <f t="shared" si="5"/>
        <v>0.12121212121212122</v>
      </c>
      <c r="V50" s="4">
        <f t="shared" si="6"/>
        <v>0.24242424242424243</v>
      </c>
      <c r="Y50" s="4">
        <v>0.5</v>
      </c>
      <c r="Z50" s="4">
        <f t="shared" si="7"/>
        <v>0.27272727272727271</v>
      </c>
      <c r="AA50" s="4">
        <f t="shared" si="8"/>
        <v>0</v>
      </c>
      <c r="AB50" s="4">
        <f t="shared" si="9"/>
        <v>0.15151515151515152</v>
      </c>
      <c r="AC50" s="4">
        <f t="shared" si="10"/>
        <v>0.15151515151515152</v>
      </c>
    </row>
    <row r="51" spans="1:29" x14ac:dyDescent="0.3">
      <c r="A51" s="4" t="s">
        <v>13</v>
      </c>
      <c r="B51" s="4" t="s">
        <v>11</v>
      </c>
      <c r="C51" s="4" t="s">
        <v>21</v>
      </c>
      <c r="D51" s="4" t="s">
        <v>12</v>
      </c>
      <c r="E51" s="4" t="s">
        <v>25</v>
      </c>
      <c r="F51" s="4">
        <f t="shared" si="0"/>
        <v>5.5905916161363186E-4</v>
      </c>
      <c r="G51" s="4">
        <f t="shared" si="1"/>
        <v>2.7889716094073717E-3</v>
      </c>
      <c r="H51" s="4" t="str">
        <f t="shared" si="2"/>
        <v>M</v>
      </c>
      <c r="I51" s="4">
        <f t="shared" si="3"/>
        <v>1</v>
      </c>
      <c r="R51" s="4">
        <v>0.5</v>
      </c>
      <c r="S51" s="4">
        <f t="shared" si="11"/>
        <v>0.51515151515151514</v>
      </c>
      <c r="T51" s="4">
        <f t="shared" si="4"/>
        <v>0</v>
      </c>
      <c r="U51" s="4">
        <f t="shared" si="5"/>
        <v>0.12121212121212122</v>
      </c>
      <c r="V51" s="4">
        <f t="shared" si="6"/>
        <v>0.51515151515151514</v>
      </c>
      <c r="Y51" s="4">
        <v>0.5</v>
      </c>
      <c r="Z51" s="4">
        <f t="shared" si="7"/>
        <v>0.60606060606060608</v>
      </c>
      <c r="AA51" s="4">
        <f t="shared" si="8"/>
        <v>0</v>
      </c>
      <c r="AB51" s="4">
        <f t="shared" si="9"/>
        <v>0.15151515151515152</v>
      </c>
      <c r="AC51" s="4">
        <f t="shared" si="10"/>
        <v>0.45454545454545453</v>
      </c>
    </row>
    <row r="52" spans="1:29" x14ac:dyDescent="0.3">
      <c r="A52" s="4" t="s">
        <v>5</v>
      </c>
      <c r="B52" s="4" t="s">
        <v>24</v>
      </c>
      <c r="C52" s="4" t="s">
        <v>19</v>
      </c>
      <c r="D52" s="4" t="s">
        <v>12</v>
      </c>
      <c r="E52" s="4" t="s">
        <v>25</v>
      </c>
      <c r="F52" s="4">
        <f t="shared" si="0"/>
        <v>1.2184622753117619E-3</v>
      </c>
      <c r="G52" s="4">
        <f t="shared" si="1"/>
        <v>4.5534230357671367E-3</v>
      </c>
      <c r="H52" s="4" t="str">
        <f t="shared" si="2"/>
        <v>M</v>
      </c>
      <c r="I52" s="4">
        <f t="shared" si="3"/>
        <v>1</v>
      </c>
      <c r="R52" s="4">
        <v>0.5</v>
      </c>
      <c r="S52" s="4">
        <f t="shared" si="11"/>
        <v>9.0909090909090912E-2</v>
      </c>
      <c r="T52" s="4">
        <f t="shared" si="4"/>
        <v>0.39393939393939392</v>
      </c>
      <c r="U52" s="4">
        <f t="shared" si="5"/>
        <v>0.15151515151515152</v>
      </c>
      <c r="V52" s="4">
        <f t="shared" si="6"/>
        <v>0.24242424242424243</v>
      </c>
      <c r="Y52" s="4">
        <v>0.5</v>
      </c>
      <c r="Z52" s="4">
        <f t="shared" si="7"/>
        <v>0.12121212121212122</v>
      </c>
      <c r="AA52" s="4">
        <f t="shared" si="8"/>
        <v>0.12121212121212122</v>
      </c>
      <c r="AB52" s="4">
        <f t="shared" si="9"/>
        <v>0.27272727272727271</v>
      </c>
      <c r="AC52" s="4">
        <f t="shared" si="10"/>
        <v>0.15151515151515152</v>
      </c>
    </row>
    <row r="53" spans="1:29" x14ac:dyDescent="0.3">
      <c r="A53" s="4" t="s">
        <v>5</v>
      </c>
      <c r="B53" s="4" t="s">
        <v>6</v>
      </c>
      <c r="C53" s="4" t="s">
        <v>19</v>
      </c>
      <c r="D53" s="4" t="s">
        <v>12</v>
      </c>
      <c r="E53" s="4" t="s">
        <v>25</v>
      </c>
      <c r="F53" s="4">
        <f t="shared" si="0"/>
        <v>0</v>
      </c>
      <c r="G53" s="4">
        <f t="shared" si="1"/>
        <v>0</v>
      </c>
      <c r="H53" s="4" t="str">
        <f t="shared" si="2"/>
        <v>M</v>
      </c>
      <c r="I53" s="4">
        <f t="shared" si="3"/>
        <v>1</v>
      </c>
      <c r="R53" s="4">
        <v>0.5</v>
      </c>
      <c r="S53" s="4">
        <f t="shared" si="11"/>
        <v>0.39393939393939392</v>
      </c>
      <c r="T53" s="4">
        <f t="shared" si="4"/>
        <v>6.0606060606060608E-2</v>
      </c>
      <c r="U53" s="4">
        <f t="shared" si="5"/>
        <v>0.15151515151515152</v>
      </c>
      <c r="V53" s="4">
        <f t="shared" si="6"/>
        <v>0.51515151515151514</v>
      </c>
      <c r="Y53" s="4">
        <v>0.5</v>
      </c>
      <c r="Z53" s="4">
        <f t="shared" si="7"/>
        <v>0.27272727272727271</v>
      </c>
      <c r="AA53" s="4">
        <f t="shared" si="8"/>
        <v>0.12121212121212122</v>
      </c>
      <c r="AB53" s="4">
        <f t="shared" si="9"/>
        <v>0.27272727272727271</v>
      </c>
      <c r="AC53" s="4">
        <f t="shared" si="10"/>
        <v>0.45454545454545453</v>
      </c>
    </row>
    <row r="54" spans="1:29" x14ac:dyDescent="0.3">
      <c r="A54" s="4" t="s">
        <v>5</v>
      </c>
      <c r="B54" s="4" t="s">
        <v>11</v>
      </c>
      <c r="C54" s="4" t="s">
        <v>19</v>
      </c>
      <c r="D54" s="4" t="s">
        <v>22</v>
      </c>
      <c r="E54" s="4" t="s">
        <v>25</v>
      </c>
      <c r="F54" s="4">
        <f t="shared" si="0"/>
        <v>7.1674251488927168E-5</v>
      </c>
      <c r="G54" s="4">
        <f t="shared" si="1"/>
        <v>2.6561634375308306E-3</v>
      </c>
      <c r="H54" s="4" t="str">
        <f t="shared" si="2"/>
        <v>M</v>
      </c>
      <c r="I54" s="4">
        <f t="shared" si="3"/>
        <v>1</v>
      </c>
      <c r="R54" s="4">
        <v>0.5</v>
      </c>
      <c r="S54" s="4">
        <f t="shared" si="11"/>
        <v>0.51515151515151514</v>
      </c>
      <c r="T54" s="4">
        <f t="shared" si="4"/>
        <v>0</v>
      </c>
      <c r="U54" s="4">
        <f t="shared" si="5"/>
        <v>0.18181818181818182</v>
      </c>
      <c r="V54" s="4">
        <f t="shared" si="6"/>
        <v>0.24242424242424243</v>
      </c>
      <c r="Y54" s="4">
        <v>0.5</v>
      </c>
      <c r="Z54" s="4">
        <f t="shared" si="7"/>
        <v>0.60606060606060608</v>
      </c>
      <c r="AA54" s="4">
        <f t="shared" si="8"/>
        <v>0</v>
      </c>
      <c r="AB54" s="4">
        <f t="shared" si="9"/>
        <v>0.12121212121212122</v>
      </c>
      <c r="AC54" s="4">
        <f t="shared" si="10"/>
        <v>0.15151515151515152</v>
      </c>
    </row>
    <row r="55" spans="1:29" x14ac:dyDescent="0.3">
      <c r="A55" s="4" t="s">
        <v>13</v>
      </c>
      <c r="B55" s="4" t="s">
        <v>6</v>
      </c>
      <c r="C55" s="4" t="s">
        <v>21</v>
      </c>
      <c r="D55" s="4" t="s">
        <v>17</v>
      </c>
      <c r="E55" s="4" t="s">
        <v>25</v>
      </c>
      <c r="F55" s="4">
        <f t="shared" si="0"/>
        <v>0</v>
      </c>
      <c r="G55" s="4">
        <f t="shared" si="1"/>
        <v>0</v>
      </c>
      <c r="H55" s="4" t="str">
        <f t="shared" si="2"/>
        <v>M</v>
      </c>
      <c r="I55" s="4">
        <f t="shared" si="3"/>
        <v>1</v>
      </c>
      <c r="R55" s="4">
        <v>0.5</v>
      </c>
      <c r="S55" s="4">
        <f t="shared" si="11"/>
        <v>0.51515151515151514</v>
      </c>
      <c r="T55" s="4">
        <f t="shared" si="4"/>
        <v>6.0606060606060608E-2</v>
      </c>
      <c r="U55" s="4">
        <f t="shared" si="5"/>
        <v>0.18181818181818182</v>
      </c>
      <c r="V55" s="4">
        <f t="shared" si="6"/>
        <v>6.0606060606060608E-2</v>
      </c>
      <c r="Y55" s="4">
        <v>0.5</v>
      </c>
      <c r="Z55" s="4">
        <f t="shared" si="7"/>
        <v>0.60606060606060608</v>
      </c>
      <c r="AA55" s="4">
        <f t="shared" si="8"/>
        <v>6.0606060606060608E-2</v>
      </c>
      <c r="AB55" s="4">
        <f t="shared" si="9"/>
        <v>0.21212121212121213</v>
      </c>
      <c r="AC55" s="4">
        <f t="shared" si="10"/>
        <v>0.15151515151515152</v>
      </c>
    </row>
    <row r="56" spans="1:29" x14ac:dyDescent="0.3">
      <c r="A56" s="4" t="s">
        <v>5</v>
      </c>
      <c r="B56" s="4" t="s">
        <v>23</v>
      </c>
      <c r="C56" s="4" t="s">
        <v>19</v>
      </c>
      <c r="D56" s="4" t="s">
        <v>17</v>
      </c>
      <c r="E56" s="4" t="s">
        <v>25</v>
      </c>
      <c r="F56" s="4">
        <f t="shared" si="0"/>
        <v>4.3004550893356304E-4</v>
      </c>
      <c r="G56" s="4">
        <f t="shared" si="1"/>
        <v>3.6427384286137105E-3</v>
      </c>
      <c r="H56" s="4" t="str">
        <f t="shared" si="2"/>
        <v>M</v>
      </c>
      <c r="I56" s="4">
        <f t="shared" si="3"/>
        <v>1</v>
      </c>
      <c r="R56" s="4">
        <v>0.5</v>
      </c>
      <c r="S56" s="4">
        <f t="shared" si="11"/>
        <v>0.51515151515151514</v>
      </c>
      <c r="T56" s="4">
        <f t="shared" si="4"/>
        <v>3.0303030303030304E-2</v>
      </c>
      <c r="U56" s="4">
        <f t="shared" si="5"/>
        <v>0.18181818181818182</v>
      </c>
      <c r="V56" s="4">
        <f t="shared" si="6"/>
        <v>0.51515151515151514</v>
      </c>
      <c r="Y56" s="4">
        <v>0.5</v>
      </c>
      <c r="Z56" s="4">
        <f t="shared" si="7"/>
        <v>0.60606060606060608</v>
      </c>
      <c r="AA56" s="4">
        <f t="shared" si="8"/>
        <v>0.21212121212121213</v>
      </c>
      <c r="AB56" s="4">
        <f t="shared" si="9"/>
        <v>0.21212121212121213</v>
      </c>
      <c r="AC56" s="4">
        <f t="shared" si="10"/>
        <v>0.45454545454545453</v>
      </c>
    </row>
    <row r="57" spans="1:29" x14ac:dyDescent="0.3">
      <c r="A57" s="4" t="s">
        <v>5</v>
      </c>
      <c r="B57" s="4" t="s">
        <v>23</v>
      </c>
      <c r="C57" s="4" t="s">
        <v>22</v>
      </c>
      <c r="D57" s="4" t="s">
        <v>17</v>
      </c>
      <c r="E57" s="4" t="s">
        <v>25</v>
      </c>
      <c r="F57" s="4">
        <f t="shared" si="0"/>
        <v>6.0206371250698821E-4</v>
      </c>
      <c r="G57" s="4">
        <f t="shared" si="1"/>
        <v>1.6189948571616493E-3</v>
      </c>
      <c r="H57" s="4" t="str">
        <f t="shared" si="2"/>
        <v>M</v>
      </c>
      <c r="I57" s="4">
        <f t="shared" si="3"/>
        <v>1</v>
      </c>
      <c r="R57" s="4">
        <v>0.5</v>
      </c>
      <c r="S57" s="4">
        <f t="shared" si="11"/>
        <v>0.51515151515151514</v>
      </c>
      <c r="T57" s="4">
        <f t="shared" si="4"/>
        <v>3.0303030303030304E-2</v>
      </c>
      <c r="U57" s="4">
        <f t="shared" si="5"/>
        <v>0.18181818181818182</v>
      </c>
      <c r="V57" s="4">
        <f t="shared" si="6"/>
        <v>0.51515151515151514</v>
      </c>
      <c r="Y57" s="4">
        <v>0.5</v>
      </c>
      <c r="Z57" s="4">
        <f t="shared" si="7"/>
        <v>0.60606060606060608</v>
      </c>
      <c r="AA57" s="4">
        <f t="shared" si="8"/>
        <v>0.21212121212121213</v>
      </c>
      <c r="AB57" s="4">
        <f t="shared" si="9"/>
        <v>0.12121212121212122</v>
      </c>
      <c r="AC57" s="4">
        <f t="shared" si="10"/>
        <v>0.45454545454545453</v>
      </c>
    </row>
    <row r="58" spans="1:29" x14ac:dyDescent="0.3">
      <c r="A58" s="4" t="s">
        <v>13</v>
      </c>
      <c r="B58" s="4" t="s">
        <v>15</v>
      </c>
      <c r="C58" s="4" t="s">
        <v>22</v>
      </c>
      <c r="D58" s="4" t="s">
        <v>17</v>
      </c>
      <c r="E58" s="4" t="s">
        <v>25</v>
      </c>
      <c r="F58" s="4">
        <f t="shared" si="0"/>
        <v>4.6040166250534397E-4</v>
      </c>
      <c r="G58" s="4">
        <f t="shared" si="1"/>
        <v>2.428492285742474E-4</v>
      </c>
      <c r="H58" s="4" t="str">
        <f t="shared" si="2"/>
        <v>F</v>
      </c>
      <c r="I58" s="4">
        <f t="shared" si="3"/>
        <v>0</v>
      </c>
      <c r="R58" s="4">
        <v>0.5</v>
      </c>
      <c r="S58" s="4">
        <f t="shared" si="11"/>
        <v>0.51515151515151514</v>
      </c>
      <c r="T58" s="4">
        <f t="shared" si="4"/>
        <v>6.0606060606060608E-2</v>
      </c>
      <c r="U58" s="4">
        <f t="shared" si="5"/>
        <v>0.15151515151515152</v>
      </c>
      <c r="V58" s="4">
        <f t="shared" si="6"/>
        <v>0.24242424242424243</v>
      </c>
      <c r="Y58" s="4">
        <v>0.5</v>
      </c>
      <c r="Z58" s="4">
        <f t="shared" si="7"/>
        <v>0.60606060606060608</v>
      </c>
      <c r="AA58" s="4">
        <f t="shared" si="8"/>
        <v>0.12121212121212122</v>
      </c>
      <c r="AB58" s="4">
        <f t="shared" si="9"/>
        <v>0.12121212121212122</v>
      </c>
      <c r="AC58" s="4">
        <f t="shared" si="10"/>
        <v>0.15151515151515152</v>
      </c>
    </row>
    <row r="59" spans="1:29" x14ac:dyDescent="0.3">
      <c r="A59" s="4" t="s">
        <v>13</v>
      </c>
      <c r="B59" s="4" t="s">
        <v>23</v>
      </c>
      <c r="C59" s="4" t="s">
        <v>7</v>
      </c>
      <c r="D59" s="4" t="s">
        <v>17</v>
      </c>
      <c r="E59" s="4" t="s">
        <v>25</v>
      </c>
      <c r="F59" s="4">
        <f t="shared" si="0"/>
        <v>2.6308666428876798E-4</v>
      </c>
      <c r="G59" s="4">
        <f t="shared" si="1"/>
        <v>9.1068460715342751E-4</v>
      </c>
      <c r="H59" s="4" t="str">
        <f t="shared" si="2"/>
        <v>M</v>
      </c>
      <c r="I59" s="4">
        <f t="shared" si="3"/>
        <v>1</v>
      </c>
      <c r="R59" s="4">
        <v>0.5</v>
      </c>
      <c r="S59" s="4">
        <f t="shared" si="11"/>
        <v>0.51515151515151514</v>
      </c>
      <c r="T59" s="4">
        <f t="shared" si="4"/>
        <v>0</v>
      </c>
      <c r="U59" s="4">
        <f t="shared" si="5"/>
        <v>0.15151515151515152</v>
      </c>
      <c r="V59" s="4">
        <f t="shared" si="6"/>
        <v>6.0606060606060608E-2</v>
      </c>
      <c r="Y59" s="4">
        <v>0.5</v>
      </c>
      <c r="Z59" s="4">
        <f t="shared" si="7"/>
        <v>0.60606060606060608</v>
      </c>
      <c r="AA59" s="4">
        <f t="shared" si="8"/>
        <v>0</v>
      </c>
      <c r="AB59" s="4">
        <f t="shared" si="9"/>
        <v>0.27272727272727271</v>
      </c>
      <c r="AC59" s="4">
        <f t="shared" si="10"/>
        <v>0.15151515151515152</v>
      </c>
    </row>
    <row r="60" spans="1:29" x14ac:dyDescent="0.3">
      <c r="A60" s="4" t="s">
        <v>13</v>
      </c>
      <c r="B60" s="4" t="s">
        <v>18</v>
      </c>
      <c r="C60" s="4" t="s">
        <v>7</v>
      </c>
      <c r="D60" s="4" t="s">
        <v>12</v>
      </c>
      <c r="E60" s="4" t="s">
        <v>25</v>
      </c>
      <c r="F60" s="4">
        <f t="shared" si="0"/>
        <v>1.1181183232272639E-3</v>
      </c>
      <c r="G60" s="4">
        <f t="shared" si="1"/>
        <v>2.845889397354461E-4</v>
      </c>
      <c r="H60" s="4" t="str">
        <f t="shared" si="2"/>
        <v>F</v>
      </c>
      <c r="I60" s="4">
        <f t="shared" si="3"/>
        <v>0</v>
      </c>
      <c r="R60" s="4">
        <v>0.5</v>
      </c>
      <c r="S60" s="4">
        <f t="shared" si="11"/>
        <v>0.39393939393939392</v>
      </c>
      <c r="T60" s="4">
        <f t="shared" si="4"/>
        <v>3.0303030303030304E-2</v>
      </c>
      <c r="U60" s="4">
        <f t="shared" si="5"/>
        <v>0.18181818181818182</v>
      </c>
      <c r="V60" s="4">
        <f t="shared" si="6"/>
        <v>0.51515151515151514</v>
      </c>
      <c r="Y60" s="4">
        <v>0.5</v>
      </c>
      <c r="Z60" s="4">
        <f t="shared" si="7"/>
        <v>0.27272727272727271</v>
      </c>
      <c r="AA60" s="4">
        <f t="shared" si="8"/>
        <v>0.21212121212121213</v>
      </c>
      <c r="AB60" s="4">
        <f t="shared" si="9"/>
        <v>0.21212121212121213</v>
      </c>
      <c r="AC60" s="4">
        <f t="shared" si="10"/>
        <v>0.45454545454545453</v>
      </c>
    </row>
    <row r="61" spans="1:29" x14ac:dyDescent="0.3">
      <c r="A61" s="4" t="s">
        <v>5</v>
      </c>
      <c r="B61" s="4" t="s">
        <v>20</v>
      </c>
      <c r="C61" s="4" t="s">
        <v>16</v>
      </c>
      <c r="D61" s="4" t="s">
        <v>22</v>
      </c>
      <c r="E61" s="4" t="s">
        <v>25</v>
      </c>
      <c r="F61" s="4">
        <f t="shared" si="0"/>
        <v>9.3176526935605318E-4</v>
      </c>
      <c r="G61" s="4">
        <f t="shared" si="1"/>
        <v>6.7458119048402043E-4</v>
      </c>
      <c r="H61" s="4" t="str">
        <f t="shared" si="2"/>
        <v>F</v>
      </c>
      <c r="I61" s="4">
        <f t="shared" si="3"/>
        <v>0</v>
      </c>
      <c r="R61" s="4">
        <v>0.5</v>
      </c>
      <c r="S61" s="4">
        <f t="shared" si="11"/>
        <v>0.51515151515151514</v>
      </c>
      <c r="T61" s="4">
        <f t="shared" si="4"/>
        <v>6.0606060606060608E-2</v>
      </c>
      <c r="U61" s="4">
        <f t="shared" si="5"/>
        <v>0.15151515151515152</v>
      </c>
      <c r="V61" s="4">
        <f t="shared" si="6"/>
        <v>0.51515151515151514</v>
      </c>
      <c r="Y61" s="4">
        <v>0.5</v>
      </c>
      <c r="Z61" s="4">
        <f t="shared" si="7"/>
        <v>0.60606060606060608</v>
      </c>
      <c r="AA61" s="4">
        <f t="shared" si="8"/>
        <v>0.12121212121212122</v>
      </c>
      <c r="AB61" s="4">
        <f t="shared" si="9"/>
        <v>0.27272727272727271</v>
      </c>
      <c r="AC61" s="4">
        <f t="shared" si="10"/>
        <v>0.45454545454545453</v>
      </c>
    </row>
    <row r="62" spans="1:29" x14ac:dyDescent="0.3">
      <c r="A62" s="4" t="s">
        <v>5</v>
      </c>
      <c r="B62" s="4" t="s">
        <v>23</v>
      </c>
      <c r="C62" s="4" t="s">
        <v>16</v>
      </c>
      <c r="D62" s="4" t="s">
        <v>12</v>
      </c>
      <c r="E62" s="4" t="s">
        <v>25</v>
      </c>
      <c r="F62" s="4">
        <f t="shared" si="0"/>
        <v>1.2184622753117619E-3</v>
      </c>
      <c r="G62" s="4">
        <f t="shared" si="1"/>
        <v>3.035615357178092E-3</v>
      </c>
      <c r="H62" s="4" t="str">
        <f t="shared" si="2"/>
        <v>M</v>
      </c>
      <c r="I62" s="4">
        <f t="shared" si="3"/>
        <v>1</v>
      </c>
      <c r="R62" s="4">
        <v>0.5</v>
      </c>
      <c r="S62" s="4">
        <f t="shared" si="11"/>
        <v>0.51515151515151514</v>
      </c>
      <c r="T62" s="4">
        <f t="shared" si="4"/>
        <v>0</v>
      </c>
      <c r="U62" s="4">
        <f t="shared" si="5"/>
        <v>0.15151515151515152</v>
      </c>
      <c r="V62" s="4">
        <f t="shared" si="6"/>
        <v>0.51515151515151514</v>
      </c>
      <c r="Y62" s="4">
        <v>0.5</v>
      </c>
      <c r="Z62" s="4">
        <f t="shared" si="7"/>
        <v>0.60606060606060608</v>
      </c>
      <c r="AA62" s="4">
        <f t="shared" si="8"/>
        <v>0</v>
      </c>
      <c r="AB62" s="4">
        <f t="shared" si="9"/>
        <v>0.27272727272727271</v>
      </c>
      <c r="AC62" s="4">
        <f t="shared" si="10"/>
        <v>0.45454545454545453</v>
      </c>
    </row>
    <row r="63" spans="1:29" x14ac:dyDescent="0.3">
      <c r="A63" s="4" t="s">
        <v>5</v>
      </c>
      <c r="B63" s="4" t="s">
        <v>6</v>
      </c>
      <c r="C63" s="4" t="s">
        <v>7</v>
      </c>
      <c r="D63" s="4" t="s">
        <v>12</v>
      </c>
      <c r="E63" s="4" t="s">
        <v>25</v>
      </c>
      <c r="F63" s="4">
        <f t="shared" si="0"/>
        <v>0</v>
      </c>
      <c r="G63" s="4">
        <f t="shared" si="1"/>
        <v>0</v>
      </c>
      <c r="H63" s="4" t="str">
        <f t="shared" si="2"/>
        <v>M</v>
      </c>
      <c r="I63" s="4">
        <f t="shared" si="3"/>
        <v>1</v>
      </c>
      <c r="R63" s="4">
        <v>0.5</v>
      </c>
      <c r="S63" s="4">
        <f t="shared" si="11"/>
        <v>0.51515151515151514</v>
      </c>
      <c r="T63" s="4">
        <f t="shared" si="4"/>
        <v>3.0303030303030304E-2</v>
      </c>
      <c r="U63" s="4">
        <f t="shared" si="5"/>
        <v>0.15151515151515152</v>
      </c>
      <c r="V63" s="4">
        <f t="shared" si="6"/>
        <v>6.0606060606060608E-2</v>
      </c>
      <c r="Y63" s="4">
        <v>0.5</v>
      </c>
      <c r="Z63" s="4">
        <f t="shared" si="7"/>
        <v>0.60606060606060608</v>
      </c>
      <c r="AA63" s="4">
        <f t="shared" si="8"/>
        <v>0.21212121212121213</v>
      </c>
      <c r="AB63" s="4">
        <f t="shared" si="9"/>
        <v>0.27272727272727271</v>
      </c>
      <c r="AC63" s="4">
        <f t="shared" si="10"/>
        <v>0.15151515151515152</v>
      </c>
    </row>
    <row r="64" spans="1:29" x14ac:dyDescent="0.3">
      <c r="A64" s="4" t="s">
        <v>5</v>
      </c>
      <c r="B64" s="4" t="s">
        <v>11</v>
      </c>
      <c r="C64" s="4" t="s">
        <v>21</v>
      </c>
      <c r="D64" s="4" t="s">
        <v>12</v>
      </c>
      <c r="E64" s="4" t="s">
        <v>25</v>
      </c>
      <c r="F64" s="4">
        <f t="shared" si="0"/>
        <v>7.3107736518705714E-4</v>
      </c>
      <c r="G64" s="4">
        <f t="shared" si="1"/>
        <v>6.1977146875719378E-3</v>
      </c>
      <c r="H64" s="4" t="str">
        <f t="shared" si="2"/>
        <v>M</v>
      </c>
      <c r="I64" s="4">
        <f t="shared" si="3"/>
        <v>1</v>
      </c>
      <c r="R64" s="4">
        <v>0.5</v>
      </c>
      <c r="S64" s="4">
        <f t="shared" si="11"/>
        <v>0.39393939393939392</v>
      </c>
      <c r="T64" s="4">
        <f t="shared" si="4"/>
        <v>0</v>
      </c>
      <c r="U64" s="4">
        <f t="shared" si="5"/>
        <v>0.18181818181818182</v>
      </c>
      <c r="V64" s="4">
        <f t="shared" si="6"/>
        <v>0.18181818181818182</v>
      </c>
      <c r="Y64" s="4">
        <v>0.5</v>
      </c>
      <c r="Z64" s="4">
        <f t="shared" si="7"/>
        <v>0.27272727272727271</v>
      </c>
      <c r="AA64" s="4">
        <f t="shared" si="8"/>
        <v>0</v>
      </c>
      <c r="AB64" s="4">
        <f t="shared" si="9"/>
        <v>0.21212121212121213</v>
      </c>
      <c r="AC64" s="4">
        <f t="shared" si="10"/>
        <v>0.24242424242424243</v>
      </c>
    </row>
    <row r="65" spans="1:29" x14ac:dyDescent="0.3">
      <c r="A65" s="4" t="s">
        <v>10</v>
      </c>
      <c r="B65" s="4" t="s">
        <v>11</v>
      </c>
      <c r="C65" s="4" t="s">
        <v>19</v>
      </c>
      <c r="D65" s="4" t="s">
        <v>17</v>
      </c>
      <c r="E65" s="4" t="s">
        <v>25</v>
      </c>
      <c r="F65" s="4">
        <f t="shared" si="0"/>
        <v>0</v>
      </c>
      <c r="G65" s="4">
        <f t="shared" si="1"/>
        <v>0</v>
      </c>
      <c r="H65" s="4" t="str">
        <f t="shared" si="2"/>
        <v>M</v>
      </c>
      <c r="I65" s="4">
        <f t="shared" si="3"/>
        <v>1</v>
      </c>
      <c r="R65" s="4">
        <v>0.5</v>
      </c>
      <c r="S65" s="4">
        <f t="shared" si="11"/>
        <v>0.51515151515151514</v>
      </c>
      <c r="T65" s="4">
        <f t="shared" si="4"/>
        <v>6.0606060606060608E-2</v>
      </c>
      <c r="U65" s="4">
        <f t="shared" si="5"/>
        <v>0.15151515151515152</v>
      </c>
      <c r="V65" s="4">
        <f t="shared" si="6"/>
        <v>0.18181818181818182</v>
      </c>
      <c r="Y65" s="4">
        <v>0.5</v>
      </c>
      <c r="Z65" s="4">
        <f t="shared" si="7"/>
        <v>0.60606060606060608</v>
      </c>
      <c r="AA65" s="4">
        <f t="shared" si="8"/>
        <v>0.18181818181818182</v>
      </c>
      <c r="AB65" s="4">
        <f t="shared" si="9"/>
        <v>0.27272727272727271</v>
      </c>
      <c r="AC65" s="4">
        <f t="shared" si="10"/>
        <v>0.24242424242424243</v>
      </c>
    </row>
    <row r="66" spans="1:29" x14ac:dyDescent="0.3">
      <c r="A66" s="4" t="s">
        <v>5</v>
      </c>
      <c r="B66" s="4" t="s">
        <v>6</v>
      </c>
      <c r="C66" s="4" t="s">
        <v>14</v>
      </c>
      <c r="D66" s="4" t="s">
        <v>12</v>
      </c>
      <c r="E66" s="4" t="s">
        <v>25</v>
      </c>
      <c r="F66" s="4">
        <f t="shared" si="0"/>
        <v>0</v>
      </c>
      <c r="G66" s="4">
        <f t="shared" si="1"/>
        <v>0</v>
      </c>
      <c r="H66" s="4" t="str">
        <f t="shared" si="2"/>
        <v>M</v>
      </c>
      <c r="I66" s="4">
        <f t="shared" si="3"/>
        <v>1</v>
      </c>
      <c r="R66" s="4">
        <v>0.5</v>
      </c>
      <c r="S66" s="4">
        <f t="shared" si="11"/>
        <v>0.51515151515151514</v>
      </c>
      <c r="T66" s="4">
        <f t="shared" si="4"/>
        <v>6.0606060606060608E-2</v>
      </c>
      <c r="U66" s="4">
        <f t="shared" si="5"/>
        <v>0.21212121212121213</v>
      </c>
      <c r="V66" s="4">
        <f t="shared" si="6"/>
        <v>0.18181818181818182</v>
      </c>
      <c r="Y66" s="4">
        <v>0.5</v>
      </c>
      <c r="Z66" s="4">
        <f t="shared" si="7"/>
        <v>0.60606060606060608</v>
      </c>
      <c r="AA66" s="4">
        <f t="shared" si="8"/>
        <v>0.18181818181818182</v>
      </c>
      <c r="AB66" s="4">
        <f t="shared" si="9"/>
        <v>0.12121212121212122</v>
      </c>
      <c r="AC66" s="4">
        <f t="shared" si="10"/>
        <v>0.24242424242424243</v>
      </c>
    </row>
    <row r="67" spans="1:29" x14ac:dyDescent="0.3">
      <c r="A67" s="4" t="s">
        <v>5</v>
      </c>
      <c r="B67" s="4" t="s">
        <v>23</v>
      </c>
      <c r="C67" s="4" t="s">
        <v>21</v>
      </c>
      <c r="D67" s="4" t="s">
        <v>12</v>
      </c>
      <c r="E67" s="4" t="s">
        <v>25</v>
      </c>
      <c r="F67" s="4">
        <f t="shared" ref="F67" si="12">R76*S76*T76*U76*V76</f>
        <v>0</v>
      </c>
      <c r="G67" s="4">
        <f t="shared" ref="G67" si="13">Y76*Z76*AA76*AB76*AC76</f>
        <v>0</v>
      </c>
      <c r="H67" s="4" t="str">
        <f t="shared" ref="H67" si="14">IF(F67&gt;G67,"F","M")</f>
        <v>M</v>
      </c>
      <c r="I67" s="4">
        <f t="shared" ref="I67" si="15">IF(E67=H67,1,0)</f>
        <v>1</v>
      </c>
      <c r="R67" s="4">
        <v>0.5</v>
      </c>
      <c r="S67" s="4">
        <f t="shared" si="11"/>
        <v>0.39393939393939392</v>
      </c>
      <c r="T67" s="4">
        <f t="shared" si="4"/>
        <v>6.0606060606060608E-2</v>
      </c>
      <c r="U67" s="4">
        <f t="shared" si="5"/>
        <v>0.21212121212121213</v>
      </c>
      <c r="V67" s="4">
        <f t="shared" si="6"/>
        <v>0.18181818181818182</v>
      </c>
      <c r="Y67" s="4">
        <v>0.5</v>
      </c>
      <c r="Z67" s="4">
        <f t="shared" si="7"/>
        <v>0.27272727272727271</v>
      </c>
      <c r="AA67" s="4">
        <f t="shared" si="8"/>
        <v>6.0606060606060608E-2</v>
      </c>
      <c r="AB67" s="4">
        <f t="shared" si="9"/>
        <v>0.12121212121212122</v>
      </c>
      <c r="AC67" s="4">
        <f t="shared" si="10"/>
        <v>0.24242424242424243</v>
      </c>
    </row>
    <row r="68" spans="1:29" x14ac:dyDescent="0.3">
      <c r="R68" s="4">
        <v>0.5</v>
      </c>
      <c r="S68" s="4">
        <f t="shared" si="11"/>
        <v>0.39393939393939392</v>
      </c>
      <c r="T68" s="4">
        <f t="shared" si="4"/>
        <v>6.0606060606060608E-2</v>
      </c>
      <c r="U68" s="4">
        <f t="shared" si="5"/>
        <v>0.12121212121212122</v>
      </c>
      <c r="V68" s="4">
        <f t="shared" si="6"/>
        <v>0.18181818181818182</v>
      </c>
      <c r="Y68" s="4">
        <v>0.5</v>
      </c>
      <c r="Z68" s="4">
        <f t="shared" si="7"/>
        <v>0.27272727272727271</v>
      </c>
      <c r="AA68" s="4">
        <f t="shared" si="8"/>
        <v>0.18181818181818182</v>
      </c>
      <c r="AB68" s="4">
        <f t="shared" si="9"/>
        <v>0.15151515151515152</v>
      </c>
      <c r="AC68" s="4">
        <f t="shared" si="10"/>
        <v>0.24242424242424243</v>
      </c>
    </row>
    <row r="69" spans="1:29" x14ac:dyDescent="0.3">
      <c r="G69" s="9" t="s">
        <v>77</v>
      </c>
      <c r="H69" s="9"/>
      <c r="I69" s="8">
        <f>SUM(I2:I67)/66</f>
        <v>0.69696969696969702</v>
      </c>
      <c r="R69" s="4">
        <v>0.5</v>
      </c>
      <c r="S69" s="4">
        <f t="shared" si="11"/>
        <v>0.39393939393939392</v>
      </c>
      <c r="T69" s="4">
        <f t="shared" si="4"/>
        <v>9.0909090909090912E-2</v>
      </c>
      <c r="U69" s="4">
        <f t="shared" si="5"/>
        <v>0.12121212121212122</v>
      </c>
      <c r="V69" s="4">
        <f t="shared" si="6"/>
        <v>0.51515151515151514</v>
      </c>
      <c r="Y69" s="4">
        <v>0.5</v>
      </c>
      <c r="Z69" s="4">
        <f t="shared" si="7"/>
        <v>0.27272727272727271</v>
      </c>
      <c r="AA69" s="4">
        <f t="shared" si="8"/>
        <v>3.0303030303030304E-2</v>
      </c>
      <c r="AB69" s="4">
        <f t="shared" si="9"/>
        <v>0.15151515151515152</v>
      </c>
      <c r="AC69" s="4">
        <f t="shared" si="10"/>
        <v>0.45454545454545453</v>
      </c>
    </row>
    <row r="70" spans="1:29" x14ac:dyDescent="0.3">
      <c r="R70" s="4">
        <v>0.5</v>
      </c>
      <c r="S70" s="4">
        <f t="shared" si="11"/>
        <v>0.51515151515151514</v>
      </c>
      <c r="T70" s="4">
        <f t="shared" si="4"/>
        <v>0.39393939393939392</v>
      </c>
      <c r="U70" s="4">
        <f t="shared" si="5"/>
        <v>0.15151515151515152</v>
      </c>
      <c r="V70" s="4">
        <f t="shared" si="6"/>
        <v>6.0606060606060608E-2</v>
      </c>
      <c r="Y70" s="4">
        <v>0.5</v>
      </c>
      <c r="Z70" s="4">
        <f t="shared" si="7"/>
        <v>0.60606060606060608</v>
      </c>
      <c r="AA70" s="4">
        <f t="shared" si="8"/>
        <v>0.12121212121212122</v>
      </c>
      <c r="AB70" s="4">
        <f t="shared" si="9"/>
        <v>0.12121212121212122</v>
      </c>
      <c r="AC70" s="4">
        <f t="shared" si="10"/>
        <v>0.15151515151515152</v>
      </c>
    </row>
    <row r="71" spans="1:29" x14ac:dyDescent="0.3">
      <c r="R71" s="4">
        <v>0.5</v>
      </c>
      <c r="S71" s="4">
        <f t="shared" si="11"/>
        <v>0.51515151515151514</v>
      </c>
      <c r="T71" s="4">
        <f t="shared" si="4"/>
        <v>6.0606060606060608E-2</v>
      </c>
      <c r="U71" s="4">
        <f t="shared" si="5"/>
        <v>0.15151515151515152</v>
      </c>
      <c r="V71" s="4">
        <f t="shared" si="6"/>
        <v>0.51515151515151514</v>
      </c>
      <c r="Y71" s="4">
        <v>0.5</v>
      </c>
      <c r="Z71" s="4">
        <f t="shared" si="7"/>
        <v>0.60606060606060608</v>
      </c>
      <c r="AA71" s="4">
        <f t="shared" si="8"/>
        <v>0.18181818181818182</v>
      </c>
      <c r="AB71" s="4">
        <f t="shared" si="9"/>
        <v>0.12121212121212122</v>
      </c>
      <c r="AC71" s="4">
        <f t="shared" si="10"/>
        <v>0.45454545454545453</v>
      </c>
    </row>
    <row r="72" spans="1:29" x14ac:dyDescent="0.3">
      <c r="R72" s="4">
        <v>0.5</v>
      </c>
      <c r="S72" s="4">
        <f t="shared" si="11"/>
        <v>0.51515151515151514</v>
      </c>
      <c r="T72" s="4">
        <f t="shared" si="4"/>
        <v>0</v>
      </c>
      <c r="U72" s="4">
        <f t="shared" si="5"/>
        <v>0.12121212121212122</v>
      </c>
      <c r="V72" s="4">
        <f t="shared" si="6"/>
        <v>0.51515151515151514</v>
      </c>
      <c r="Y72" s="4">
        <v>0.5</v>
      </c>
      <c r="Z72" s="4">
        <f t="shared" si="7"/>
        <v>0.60606060606060608</v>
      </c>
      <c r="AA72" s="4">
        <f t="shared" si="8"/>
        <v>0</v>
      </c>
      <c r="AB72" s="4">
        <f t="shared" si="9"/>
        <v>0.15151515151515152</v>
      </c>
      <c r="AC72" s="4">
        <f t="shared" si="10"/>
        <v>0.45454545454545453</v>
      </c>
    </row>
    <row r="73" spans="1:29" x14ac:dyDescent="0.3">
      <c r="R73" s="4">
        <v>0.5</v>
      </c>
      <c r="S73" s="4">
        <f t="shared" si="11"/>
        <v>0.51515151515151514</v>
      </c>
      <c r="T73" s="4">
        <f t="shared" si="4"/>
        <v>3.0303030303030304E-2</v>
      </c>
      <c r="U73" s="4">
        <f t="shared" si="5"/>
        <v>0.18181818181818182</v>
      </c>
      <c r="V73" s="4">
        <f t="shared" si="6"/>
        <v>0.51515151515151514</v>
      </c>
      <c r="Y73" s="4">
        <v>0.5</v>
      </c>
      <c r="Z73" s="4">
        <f t="shared" si="7"/>
        <v>0.60606060606060608</v>
      </c>
      <c r="AA73" s="4">
        <f t="shared" si="8"/>
        <v>0.21212121212121213</v>
      </c>
      <c r="AB73" s="4">
        <f t="shared" si="9"/>
        <v>0.21212121212121213</v>
      </c>
      <c r="AC73" s="4">
        <f t="shared" si="10"/>
        <v>0.45454545454545453</v>
      </c>
    </row>
  </sheetData>
  <mergeCells count="1">
    <mergeCell ref="G69:H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Gandhi</dc:creator>
  <cp:lastModifiedBy>Vansh Gandhi</cp:lastModifiedBy>
  <dcterms:created xsi:type="dcterms:W3CDTF">2021-10-06T22:28:44Z</dcterms:created>
  <dcterms:modified xsi:type="dcterms:W3CDTF">2021-10-22T08:24:32Z</dcterms:modified>
</cp:coreProperties>
</file>